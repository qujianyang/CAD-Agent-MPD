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roject\Matrix 2\MC_2019\MCDL\SAR\SAR for Road Trial\"/>
    </mc:Choice>
  </mc:AlternateContent>
  <workbookProtection workbookPassword="ED48" lockStructure="1"/>
  <bookViews>
    <workbookView xWindow="0" yWindow="0" windowWidth="23040" windowHeight="9210" tabRatio="678"/>
  </bookViews>
  <sheets>
    <sheet name="Tie-Down Provision Workings" sheetId="1" r:id="rId1"/>
    <sheet name="Fastener Data" sheetId="2" r:id="rId2"/>
    <sheet name="Tie-Down Provision Summary" sheetId="3" r:id="rId3"/>
  </sheets>
  <externalReferences>
    <externalReference r:id="rId4"/>
  </externalReferences>
  <definedNames>
    <definedName name="_xlnm._FilterDatabase" localSheetId="1" hidden="1">'Fastener Data'!$E$3:$G$22</definedName>
    <definedName name="_xlnm.Print_Area" localSheetId="0">'Tie-Down Provision Workings'!$B$9:$J$64</definedName>
  </definedNames>
  <calcPr calcId="162913"/>
</workbook>
</file>

<file path=xl/calcChain.xml><?xml version="1.0" encoding="utf-8"?>
<calcChain xmlns="http://schemas.openxmlformats.org/spreadsheetml/2006/main">
  <c r="F204" i="3" l="1"/>
  <c r="F203" i="3"/>
  <c r="I202" i="3"/>
  <c r="F202" i="3"/>
  <c r="C202" i="3"/>
  <c r="M204" i="3" s="1"/>
  <c r="I199" i="3"/>
  <c r="AQ67" i="1"/>
  <c r="AP67" i="1"/>
  <c r="AO67" i="1"/>
  <c r="AH67" i="1"/>
  <c r="AG67" i="1"/>
  <c r="AF67" i="1"/>
  <c r="AB67" i="1"/>
  <c r="AE67" i="1" s="1"/>
  <c r="AA67" i="1"/>
  <c r="AD67" i="1" s="1"/>
  <c r="Z67" i="1"/>
  <c r="AC67" i="1" s="1"/>
  <c r="S67" i="1"/>
  <c r="L67" i="1"/>
  <c r="M67" i="1" s="1"/>
  <c r="K67" i="1"/>
  <c r="G67" i="1"/>
  <c r="V67" i="1" s="1"/>
  <c r="F67" i="1"/>
  <c r="U67" i="1" s="1"/>
  <c r="E67" i="1"/>
  <c r="T67" i="1" s="1"/>
  <c r="C199" i="3"/>
  <c r="I155" i="3"/>
  <c r="I196" i="3"/>
  <c r="AQ66" i="1"/>
  <c r="AP66" i="1"/>
  <c r="AO66" i="1"/>
  <c r="AK66" i="1"/>
  <c r="AJ66" i="1"/>
  <c r="AI66" i="1"/>
  <c r="AH66" i="1"/>
  <c r="AG66" i="1"/>
  <c r="AF66" i="1"/>
  <c r="AB66" i="1"/>
  <c r="AE66" i="1" s="1"/>
  <c r="AA66" i="1"/>
  <c r="AD66" i="1" s="1"/>
  <c r="Z66" i="1"/>
  <c r="AC66" i="1" s="1"/>
  <c r="S66" i="1"/>
  <c r="L66" i="1"/>
  <c r="M66" i="1" s="1"/>
  <c r="K66" i="1"/>
  <c r="G66" i="1"/>
  <c r="V66" i="1" s="1"/>
  <c r="F66" i="1"/>
  <c r="U66" i="1" s="1"/>
  <c r="E66" i="1"/>
  <c r="T66" i="1" s="1"/>
  <c r="I193" i="3"/>
  <c r="I190" i="3"/>
  <c r="I187" i="3"/>
  <c r="I184" i="3"/>
  <c r="I181" i="3"/>
  <c r="I178" i="3"/>
  <c r="I175" i="3"/>
  <c r="I163" i="3"/>
  <c r="I169" i="3"/>
  <c r="I168" i="3"/>
  <c r="I160" i="3"/>
  <c r="AI67" i="1" l="1"/>
  <c r="AJ67" i="1"/>
  <c r="AK67" i="1"/>
  <c r="D202" i="3"/>
  <c r="K203" i="3"/>
  <c r="J203" i="3" s="1"/>
  <c r="L203" i="3"/>
  <c r="M203" i="3"/>
  <c r="G203" i="3"/>
  <c r="G204" i="3"/>
  <c r="G202" i="3"/>
  <c r="H202" i="3"/>
  <c r="K202" i="3"/>
  <c r="J202" i="3" s="1"/>
  <c r="K204" i="3"/>
  <c r="J204" i="3" s="1"/>
  <c r="L202" i="3"/>
  <c r="L204" i="3"/>
  <c r="M202" i="3"/>
  <c r="AM67" i="1"/>
  <c r="O67" i="1"/>
  <c r="X67" i="1" s="1"/>
  <c r="Y67" i="1"/>
  <c r="AN67" i="1"/>
  <c r="L201" i="3" s="1"/>
  <c r="AL67" i="1"/>
  <c r="N67" i="1"/>
  <c r="W67" i="1" s="1"/>
  <c r="AR67" i="1" s="1"/>
  <c r="O66" i="1"/>
  <c r="G200" i="3"/>
  <c r="D199" i="3"/>
  <c r="K200" i="3"/>
  <c r="L200" i="3"/>
  <c r="G199" i="3"/>
  <c r="G201" i="3"/>
  <c r="H199" i="3"/>
  <c r="K201" i="3"/>
  <c r="L199" i="3"/>
  <c r="K199" i="3"/>
  <c r="AL66" i="1"/>
  <c r="X66" i="1"/>
  <c r="AS66" i="1" s="1"/>
  <c r="AM66" i="1"/>
  <c r="Y66" i="1"/>
  <c r="AT66" i="1" s="1"/>
  <c r="AN66" i="1"/>
  <c r="N66" i="1"/>
  <c r="W66" i="1" s="1"/>
  <c r="AR66" i="1" s="1"/>
  <c r="AT67" i="1" l="1"/>
  <c r="AS67" i="1"/>
  <c r="I157" i="3"/>
  <c r="I151" i="3"/>
  <c r="C196" i="3"/>
  <c r="AQ52" i="1"/>
  <c r="AP52" i="1"/>
  <c r="AO52" i="1"/>
  <c r="AK52" i="1"/>
  <c r="AJ52" i="1"/>
  <c r="AI52" i="1"/>
  <c r="AH52" i="1"/>
  <c r="AG52" i="1"/>
  <c r="AF52" i="1"/>
  <c r="AB52" i="1"/>
  <c r="AE52" i="1" s="1"/>
  <c r="AA52" i="1"/>
  <c r="AD52" i="1" s="1"/>
  <c r="Z52" i="1"/>
  <c r="AC52" i="1" s="1"/>
  <c r="S52" i="1"/>
  <c r="L52" i="1"/>
  <c r="M52" i="1" s="1"/>
  <c r="K52" i="1"/>
  <c r="G52" i="1"/>
  <c r="V52" i="1" s="1"/>
  <c r="F52" i="1"/>
  <c r="U52" i="1" s="1"/>
  <c r="E52" i="1"/>
  <c r="T52" i="1" s="1"/>
  <c r="O52" i="1" l="1"/>
  <c r="X52" i="1" s="1"/>
  <c r="AS52" i="1" s="1"/>
  <c r="D196" i="3"/>
  <c r="G196" i="3"/>
  <c r="H196" i="3"/>
  <c r="K197" i="3"/>
  <c r="L197" i="3"/>
  <c r="K198" i="3"/>
  <c r="G197" i="3"/>
  <c r="G198" i="3"/>
  <c r="K196" i="3"/>
  <c r="L196" i="3"/>
  <c r="L198" i="3"/>
  <c r="AL52" i="1"/>
  <c r="AM52" i="1"/>
  <c r="AN52" i="1"/>
  <c r="N52" i="1"/>
  <c r="W52" i="1" s="1"/>
  <c r="AR52" i="1" s="1"/>
  <c r="AQ61" i="1"/>
  <c r="AP61" i="1"/>
  <c r="AO61" i="1"/>
  <c r="AB61" i="1"/>
  <c r="V61" i="1"/>
  <c r="Y61" i="1" s="1"/>
  <c r="U61" i="1"/>
  <c r="X61" i="1" s="1"/>
  <c r="T61" i="1"/>
  <c r="W61" i="1" s="1"/>
  <c r="S61" i="1"/>
  <c r="L61" i="1"/>
  <c r="M61" i="1" s="1"/>
  <c r="K61" i="1"/>
  <c r="N61" i="1" s="1"/>
  <c r="G61" i="1"/>
  <c r="AH61" i="1" s="1"/>
  <c r="AK61" i="1" s="1"/>
  <c r="F61" i="1"/>
  <c r="AG61" i="1" s="1"/>
  <c r="E61" i="1"/>
  <c r="AF61" i="1" s="1"/>
  <c r="AQ60" i="1"/>
  <c r="AP60" i="1"/>
  <c r="AO60" i="1"/>
  <c r="AB60" i="1"/>
  <c r="AE60" i="1" s="1"/>
  <c r="AA60" i="1"/>
  <c r="AD60" i="1" s="1"/>
  <c r="Z60" i="1"/>
  <c r="AC60" i="1" s="1"/>
  <c r="Y60" i="1"/>
  <c r="X60" i="1"/>
  <c r="W60" i="1"/>
  <c r="V60" i="1"/>
  <c r="AN60" i="1" s="1"/>
  <c r="U60" i="1"/>
  <c r="T60" i="1"/>
  <c r="S60" i="1"/>
  <c r="L60" i="1"/>
  <c r="M60" i="1" s="1"/>
  <c r="K60" i="1"/>
  <c r="G60" i="1"/>
  <c r="AH60" i="1" s="1"/>
  <c r="F60" i="1"/>
  <c r="AG60" i="1" s="1"/>
  <c r="E60" i="1"/>
  <c r="AF60" i="1" s="1"/>
  <c r="I133" i="3"/>
  <c r="I130" i="3"/>
  <c r="Y52" i="1" l="1"/>
  <c r="AT52" i="1" s="1"/>
  <c r="O60" i="1"/>
  <c r="AJ60" i="1"/>
  <c r="AS60" i="1" s="1"/>
  <c r="AI60" i="1"/>
  <c r="AR60" i="1" s="1"/>
  <c r="AN61" i="1"/>
  <c r="Z61" i="1"/>
  <c r="AA61" i="1"/>
  <c r="AD61" i="1" s="1"/>
  <c r="AL61" i="1"/>
  <c r="O61" i="1"/>
  <c r="AI61" i="1" s="1"/>
  <c r="AL60" i="1"/>
  <c r="AM60" i="1"/>
  <c r="N60" i="1"/>
  <c r="AK60" i="1" s="1"/>
  <c r="AT60" i="1" s="1"/>
  <c r="L58" i="1"/>
  <c r="AQ58" i="1"/>
  <c r="AP58" i="1"/>
  <c r="AO58" i="1"/>
  <c r="AK58" i="1"/>
  <c r="AJ58" i="1"/>
  <c r="AH58" i="1"/>
  <c r="AG58" i="1"/>
  <c r="AF58" i="1"/>
  <c r="AI58" i="1" s="1"/>
  <c r="AB58" i="1"/>
  <c r="AA58" i="1"/>
  <c r="Z58" i="1"/>
  <c r="W58" i="1"/>
  <c r="V58" i="1"/>
  <c r="AN58" i="1" s="1"/>
  <c r="U58" i="1"/>
  <c r="AM58" i="1" s="1"/>
  <c r="T58" i="1"/>
  <c r="S58" i="1"/>
  <c r="K58" i="1"/>
  <c r="S53" i="1"/>
  <c r="C193" i="3"/>
  <c r="C67" i="3"/>
  <c r="C175" i="3"/>
  <c r="C178" i="3"/>
  <c r="C181" i="3"/>
  <c r="C184" i="3"/>
  <c r="C187" i="3"/>
  <c r="C190" i="3"/>
  <c r="C166" i="3"/>
  <c r="C169" i="3"/>
  <c r="C154" i="3"/>
  <c r="C157" i="3"/>
  <c r="C160" i="3"/>
  <c r="C163" i="3"/>
  <c r="C142" i="3"/>
  <c r="C145" i="3"/>
  <c r="L145" i="3" s="1"/>
  <c r="C148" i="3"/>
  <c r="C151" i="3"/>
  <c r="C130" i="3"/>
  <c r="C133" i="3"/>
  <c r="C136" i="3"/>
  <c r="C112" i="3"/>
  <c r="C115" i="3"/>
  <c r="C118" i="3"/>
  <c r="C121" i="3"/>
  <c r="C124" i="3"/>
  <c r="C127" i="3"/>
  <c r="C109" i="3"/>
  <c r="C103" i="3"/>
  <c r="C79" i="3"/>
  <c r="C82" i="3"/>
  <c r="C85" i="3"/>
  <c r="C88" i="3"/>
  <c r="C91" i="3"/>
  <c r="C94" i="3"/>
  <c r="C97" i="3"/>
  <c r="C100" i="3"/>
  <c r="C76" i="3"/>
  <c r="C58" i="3"/>
  <c r="C61" i="3"/>
  <c r="C64" i="3"/>
  <c r="C70" i="3"/>
  <c r="C46" i="3"/>
  <c r="C49" i="3"/>
  <c r="H51" i="3" s="1"/>
  <c r="C52" i="3"/>
  <c r="C55" i="3"/>
  <c r="H57" i="3" s="1"/>
  <c r="C43" i="3"/>
  <c r="C25" i="3"/>
  <c r="C28" i="3"/>
  <c r="C31" i="3"/>
  <c r="C34" i="3"/>
  <c r="C37" i="3"/>
  <c r="C22" i="3"/>
  <c r="C19" i="3"/>
  <c r="C16" i="3"/>
  <c r="G18" i="3" s="1"/>
  <c r="C13" i="3"/>
  <c r="G15" i="3" s="1"/>
  <c r="AQ42" i="1"/>
  <c r="AP42" i="1"/>
  <c r="AO42" i="1"/>
  <c r="AH42" i="1"/>
  <c r="AK42" i="1" s="1"/>
  <c r="AG42" i="1"/>
  <c r="AJ42" i="1" s="1"/>
  <c r="AF42" i="1"/>
  <c r="AI42" i="1" s="1"/>
  <c r="V42" i="1"/>
  <c r="Y42" i="1" s="1"/>
  <c r="U42" i="1"/>
  <c r="X42" i="1" s="1"/>
  <c r="T42" i="1"/>
  <c r="W42" i="1" s="1"/>
  <c r="S42" i="1"/>
  <c r="I118" i="3" s="1"/>
  <c r="L42" i="1"/>
  <c r="M42" i="1" s="1"/>
  <c r="K42" i="1"/>
  <c r="G42" i="1"/>
  <c r="AB42" i="1" s="1"/>
  <c r="F42" i="1"/>
  <c r="AA42" i="1" s="1"/>
  <c r="E42" i="1"/>
  <c r="Z42" i="1" s="1"/>
  <c r="AQ16" i="1"/>
  <c r="AP16" i="1"/>
  <c r="AO16" i="1"/>
  <c r="AI16" i="1"/>
  <c r="AH16" i="1"/>
  <c r="AK16" i="1" s="1"/>
  <c r="AG16" i="1"/>
  <c r="AJ16" i="1" s="1"/>
  <c r="AF16" i="1"/>
  <c r="AE16" i="1"/>
  <c r="AD16" i="1"/>
  <c r="AB16" i="1"/>
  <c r="AA16" i="1"/>
  <c r="Z16" i="1"/>
  <c r="AC16" i="1" s="1"/>
  <c r="S16" i="1"/>
  <c r="I31" i="3" s="1"/>
  <c r="L16" i="1"/>
  <c r="M16" i="1" s="1"/>
  <c r="K16" i="1"/>
  <c r="G16" i="1"/>
  <c r="V16" i="1" s="1"/>
  <c r="F16" i="1"/>
  <c r="U16" i="1" s="1"/>
  <c r="E16" i="1"/>
  <c r="T16" i="1" s="1"/>
  <c r="AQ39" i="1"/>
  <c r="AP39" i="1"/>
  <c r="AO39" i="1"/>
  <c r="AH39" i="1"/>
  <c r="V39" i="1"/>
  <c r="Y39" i="1" s="1"/>
  <c r="U39" i="1"/>
  <c r="X39" i="1" s="1"/>
  <c r="T39" i="1"/>
  <c r="W39" i="1" s="1"/>
  <c r="S39" i="1"/>
  <c r="I109" i="3" s="1"/>
  <c r="L39" i="1"/>
  <c r="M39" i="1" s="1"/>
  <c r="K39" i="1"/>
  <c r="G39" i="1"/>
  <c r="AB39" i="1" s="1"/>
  <c r="F39" i="1"/>
  <c r="AA39" i="1" s="1"/>
  <c r="E39" i="1"/>
  <c r="Z39" i="1" s="1"/>
  <c r="AQ38" i="1"/>
  <c r="AP38" i="1"/>
  <c r="AO38" i="1"/>
  <c r="AH38" i="1"/>
  <c r="AK38" i="1" s="1"/>
  <c r="AG38" i="1"/>
  <c r="AJ38" i="1" s="1"/>
  <c r="AF38" i="1"/>
  <c r="AI38" i="1" s="1"/>
  <c r="W38" i="1"/>
  <c r="V38" i="1"/>
  <c r="AN38" i="1" s="1"/>
  <c r="U38" i="1"/>
  <c r="X38" i="1" s="1"/>
  <c r="T38" i="1"/>
  <c r="S38" i="1"/>
  <c r="I103" i="3" s="1"/>
  <c r="L38" i="1"/>
  <c r="M38" i="1" s="1"/>
  <c r="K38" i="1"/>
  <c r="G38" i="1"/>
  <c r="AB38" i="1" s="1"/>
  <c r="F38" i="1"/>
  <c r="AA38" i="1" s="1"/>
  <c r="E38" i="1"/>
  <c r="Z38" i="1" s="1"/>
  <c r="AQ37" i="1"/>
  <c r="AP37" i="1"/>
  <c r="AO37" i="1"/>
  <c r="AK37" i="1"/>
  <c r="AH37" i="1"/>
  <c r="AG37" i="1"/>
  <c r="AJ37" i="1" s="1"/>
  <c r="AF37" i="1"/>
  <c r="AI37" i="1" s="1"/>
  <c r="V37" i="1"/>
  <c r="S37" i="1"/>
  <c r="I100" i="3" s="1"/>
  <c r="L37" i="1"/>
  <c r="M37" i="1" s="1"/>
  <c r="K37" i="1"/>
  <c r="G37" i="1"/>
  <c r="AB37" i="1" s="1"/>
  <c r="F37" i="1"/>
  <c r="AA37" i="1" s="1"/>
  <c r="E37" i="1"/>
  <c r="Z37" i="1" s="1"/>
  <c r="AQ33" i="1"/>
  <c r="AP33" i="1"/>
  <c r="AO33" i="1"/>
  <c r="AH33" i="1"/>
  <c r="AK33" i="1" s="1"/>
  <c r="AG33" i="1"/>
  <c r="AJ33" i="1" s="1"/>
  <c r="AF33" i="1"/>
  <c r="AI33" i="1" s="1"/>
  <c r="V33" i="1"/>
  <c r="U33" i="1"/>
  <c r="S33" i="1"/>
  <c r="I88" i="3" s="1"/>
  <c r="L33" i="1"/>
  <c r="M33" i="1" s="1"/>
  <c r="K33" i="1"/>
  <c r="G33" i="1"/>
  <c r="AB33" i="1" s="1"/>
  <c r="F33" i="1"/>
  <c r="AA33" i="1" s="1"/>
  <c r="E33" i="1"/>
  <c r="Z33" i="1" s="1"/>
  <c r="K156" i="3" l="1"/>
  <c r="K155" i="3"/>
  <c r="J155" i="3" s="1"/>
  <c r="K154" i="3"/>
  <c r="M155" i="3"/>
  <c r="L155" i="3"/>
  <c r="H163" i="3"/>
  <c r="L165" i="3"/>
  <c r="L164" i="3"/>
  <c r="L163" i="3"/>
  <c r="H155" i="3"/>
  <c r="L168" i="3"/>
  <c r="K167" i="3"/>
  <c r="K168" i="3"/>
  <c r="H168" i="3"/>
  <c r="K166" i="3"/>
  <c r="G166" i="3"/>
  <c r="L166" i="3" s="1"/>
  <c r="M166" i="3" s="1"/>
  <c r="M152" i="3"/>
  <c r="M151" i="3"/>
  <c r="L153" i="3"/>
  <c r="L152" i="3"/>
  <c r="L151" i="3"/>
  <c r="M153" i="3"/>
  <c r="H151" i="3"/>
  <c r="O42" i="1"/>
  <c r="AC61" i="1"/>
  <c r="AR61" i="1" s="1"/>
  <c r="AE61" i="1"/>
  <c r="AT61" i="1" s="1"/>
  <c r="D58" i="3"/>
  <c r="G60" i="3"/>
  <c r="G59" i="3"/>
  <c r="G58" i="3"/>
  <c r="D55" i="3"/>
  <c r="G57" i="3"/>
  <c r="G56" i="3"/>
  <c r="L56" i="3" s="1"/>
  <c r="M56" i="3" s="1"/>
  <c r="G55" i="3"/>
  <c r="L55" i="3" s="1"/>
  <c r="M55" i="3" s="1"/>
  <c r="D52" i="3"/>
  <c r="G54" i="3"/>
  <c r="G52" i="3"/>
  <c r="G53" i="3"/>
  <c r="D190" i="3"/>
  <c r="G192" i="3"/>
  <c r="G191" i="3"/>
  <c r="G190" i="3"/>
  <c r="D130" i="3"/>
  <c r="G132" i="3"/>
  <c r="G130" i="3"/>
  <c r="G131" i="3"/>
  <c r="D19" i="3"/>
  <c r="G21" i="3"/>
  <c r="G20" i="3"/>
  <c r="G19" i="3"/>
  <c r="D70" i="3"/>
  <c r="G72" i="3"/>
  <c r="G71" i="3"/>
  <c r="G70" i="3"/>
  <c r="D79" i="3"/>
  <c r="G81" i="3"/>
  <c r="G79" i="3"/>
  <c r="G80" i="3"/>
  <c r="G153" i="3"/>
  <c r="G152" i="3"/>
  <c r="G151" i="3"/>
  <c r="G186" i="3"/>
  <c r="G184" i="3"/>
  <c r="G185" i="3"/>
  <c r="D169" i="3"/>
  <c r="G171" i="3"/>
  <c r="G170" i="3"/>
  <c r="G169" i="3"/>
  <c r="D88" i="3"/>
  <c r="G88" i="3"/>
  <c r="G90" i="3"/>
  <c r="G89" i="3"/>
  <c r="D49" i="3"/>
  <c r="G49" i="3"/>
  <c r="L49" i="3" s="1"/>
  <c r="M49" i="3" s="1"/>
  <c r="G50" i="3"/>
  <c r="L50" i="3" s="1"/>
  <c r="M50" i="3" s="1"/>
  <c r="G51" i="3"/>
  <c r="G135" i="3"/>
  <c r="G134" i="3"/>
  <c r="G133" i="3"/>
  <c r="D46" i="3"/>
  <c r="G46" i="3"/>
  <c r="G47" i="3"/>
  <c r="G48" i="3"/>
  <c r="D82" i="3"/>
  <c r="G82" i="3"/>
  <c r="G84" i="3"/>
  <c r="G83" i="3"/>
  <c r="D22" i="3"/>
  <c r="G23" i="3"/>
  <c r="G24" i="3"/>
  <c r="G22" i="3"/>
  <c r="D64" i="3"/>
  <c r="G66" i="3"/>
  <c r="G65" i="3"/>
  <c r="G64" i="3"/>
  <c r="D103" i="3"/>
  <c r="G105" i="3"/>
  <c r="G103" i="3"/>
  <c r="G104" i="3"/>
  <c r="G149" i="3"/>
  <c r="G150" i="3"/>
  <c r="G148" i="3"/>
  <c r="D181" i="3"/>
  <c r="G182" i="3"/>
  <c r="G181" i="3"/>
  <c r="G183" i="3"/>
  <c r="D34" i="3"/>
  <c r="G35" i="3"/>
  <c r="G34" i="3"/>
  <c r="G36" i="3"/>
  <c r="D112" i="3"/>
  <c r="G114" i="3"/>
  <c r="G112" i="3"/>
  <c r="G113" i="3"/>
  <c r="G168" i="3"/>
  <c r="G167" i="3"/>
  <c r="L167" i="3" s="1"/>
  <c r="M167" i="3" s="1"/>
  <c r="G189" i="3"/>
  <c r="G188" i="3"/>
  <c r="G187" i="3"/>
  <c r="D37" i="3"/>
  <c r="G38" i="3"/>
  <c r="G39" i="3"/>
  <c r="G37" i="3"/>
  <c r="D61" i="3"/>
  <c r="G63" i="3"/>
  <c r="G62" i="3"/>
  <c r="G61" i="3"/>
  <c r="D109" i="3"/>
  <c r="G111" i="3"/>
  <c r="G110" i="3"/>
  <c r="G109" i="3"/>
  <c r="D145" i="3"/>
  <c r="G147" i="3"/>
  <c r="G146" i="3"/>
  <c r="G145" i="3"/>
  <c r="G180" i="3"/>
  <c r="G179" i="3"/>
  <c r="G178" i="3"/>
  <c r="G177" i="3"/>
  <c r="G176" i="3"/>
  <c r="G175" i="3"/>
  <c r="D124" i="3"/>
  <c r="G126" i="3"/>
  <c r="G125" i="3"/>
  <c r="G124" i="3"/>
  <c r="G163" i="3"/>
  <c r="G165" i="3"/>
  <c r="G164" i="3"/>
  <c r="G102" i="3"/>
  <c r="G101" i="3"/>
  <c r="G100" i="3"/>
  <c r="L193" i="3"/>
  <c r="G194" i="3"/>
  <c r="G193" i="3"/>
  <c r="G195" i="3"/>
  <c r="D31" i="3"/>
  <c r="G31" i="3"/>
  <c r="G33" i="3"/>
  <c r="G32" i="3"/>
  <c r="D76" i="3"/>
  <c r="G77" i="3"/>
  <c r="G76" i="3"/>
  <c r="G78" i="3"/>
  <c r="G68" i="3"/>
  <c r="G69" i="3"/>
  <c r="G67" i="3"/>
  <c r="D28" i="3"/>
  <c r="G30" i="3"/>
  <c r="G29" i="3"/>
  <c r="G28" i="3"/>
  <c r="D121" i="3"/>
  <c r="G121" i="3"/>
  <c r="G122" i="3"/>
  <c r="G123" i="3"/>
  <c r="D25" i="3"/>
  <c r="G27" i="3"/>
  <c r="G25" i="3"/>
  <c r="G26" i="3"/>
  <c r="D97" i="3"/>
  <c r="G99" i="3"/>
  <c r="G98" i="3"/>
  <c r="G97" i="3"/>
  <c r="D118" i="3"/>
  <c r="G120" i="3"/>
  <c r="G119" i="3"/>
  <c r="G118" i="3"/>
  <c r="D157" i="3"/>
  <c r="G159" i="3"/>
  <c r="G158" i="3"/>
  <c r="G157" i="3"/>
  <c r="D43" i="3"/>
  <c r="G43" i="3"/>
  <c r="G44" i="3"/>
  <c r="G45" i="3"/>
  <c r="D94" i="3"/>
  <c r="G96" i="3"/>
  <c r="G95" i="3"/>
  <c r="G94" i="3"/>
  <c r="D115" i="3"/>
  <c r="G116" i="3"/>
  <c r="G115" i="3"/>
  <c r="G117" i="3"/>
  <c r="G155" i="3"/>
  <c r="G154" i="3"/>
  <c r="L154" i="3" s="1"/>
  <c r="M154" i="3" s="1"/>
  <c r="G156" i="3"/>
  <c r="L156" i="3" s="1"/>
  <c r="M156" i="3" s="1"/>
  <c r="D127" i="3"/>
  <c r="G127" i="3"/>
  <c r="G128" i="3"/>
  <c r="G129" i="3"/>
  <c r="D142" i="3"/>
  <c r="G144" i="3"/>
  <c r="G143" i="3"/>
  <c r="G142" i="3"/>
  <c r="D91" i="3"/>
  <c r="G93" i="3"/>
  <c r="G92" i="3"/>
  <c r="G91" i="3"/>
  <c r="D136" i="3"/>
  <c r="D85" i="3"/>
  <c r="G87" i="3"/>
  <c r="G85" i="3"/>
  <c r="G86" i="3"/>
  <c r="AM61" i="1"/>
  <c r="AJ61" i="1"/>
  <c r="AS61" i="1" s="1"/>
  <c r="D133" i="3"/>
  <c r="H133" i="3"/>
  <c r="N58" i="1"/>
  <c r="AD58" i="1" s="1"/>
  <c r="T33" i="1"/>
  <c r="T37" i="1"/>
  <c r="U37" i="1"/>
  <c r="AG39" i="1"/>
  <c r="X58" i="1"/>
  <c r="AF39" i="1"/>
  <c r="AL39" i="1" s="1"/>
  <c r="L109" i="3" s="1"/>
  <c r="Y58" i="1"/>
  <c r="AL58" i="1"/>
  <c r="AE42" i="1"/>
  <c r="AT42" i="1" s="1"/>
  <c r="M120" i="3" s="1"/>
  <c r="AC42" i="1"/>
  <c r="AR42" i="1" s="1"/>
  <c r="M118" i="3" s="1"/>
  <c r="O16" i="1"/>
  <c r="Y16" i="1" s="1"/>
  <c r="AT16" i="1" s="1"/>
  <c r="M33" i="3" s="1"/>
  <c r="AN37" i="1"/>
  <c r="D187" i="3"/>
  <c r="M58" i="1"/>
  <c r="O58" i="1" s="1"/>
  <c r="K195" i="3"/>
  <c r="K102" i="3"/>
  <c r="K31" i="3"/>
  <c r="K136" i="3"/>
  <c r="H193" i="3"/>
  <c r="H181" i="3"/>
  <c r="K90" i="3"/>
  <c r="H175" i="3"/>
  <c r="K110" i="3"/>
  <c r="L194" i="3"/>
  <c r="H178" i="3"/>
  <c r="K111" i="3"/>
  <c r="L102" i="3"/>
  <c r="L195" i="3"/>
  <c r="L169" i="3"/>
  <c r="H190" i="3"/>
  <c r="K32" i="3"/>
  <c r="K152" i="3"/>
  <c r="J152" i="3" s="1"/>
  <c r="L170" i="3"/>
  <c r="H187" i="3"/>
  <c r="K33" i="3"/>
  <c r="K126" i="3"/>
  <c r="K138" i="3"/>
  <c r="K153" i="3"/>
  <c r="J153" i="3" s="1"/>
  <c r="L105" i="3"/>
  <c r="L171" i="3"/>
  <c r="K151" i="3"/>
  <c r="J151" i="3" s="1"/>
  <c r="D193" i="3"/>
  <c r="H184" i="3"/>
  <c r="K88" i="3"/>
  <c r="K100" i="3"/>
  <c r="K193" i="3"/>
  <c r="K89" i="3"/>
  <c r="K101" i="3"/>
  <c r="K194" i="3"/>
  <c r="K91" i="3"/>
  <c r="K103" i="3"/>
  <c r="K118" i="3"/>
  <c r="J118" i="3" s="1"/>
  <c r="K104" i="3"/>
  <c r="K119" i="3"/>
  <c r="K105" i="3"/>
  <c r="K120" i="3"/>
  <c r="J120" i="3" s="1"/>
  <c r="K109" i="3"/>
  <c r="D67" i="3"/>
  <c r="H67" i="3"/>
  <c r="H25" i="3"/>
  <c r="H76" i="3"/>
  <c r="H103" i="3"/>
  <c r="H46" i="3"/>
  <c r="H136" i="3"/>
  <c r="H22" i="3"/>
  <c r="H64" i="3"/>
  <c r="H100" i="3"/>
  <c r="H148" i="3"/>
  <c r="D175" i="3"/>
  <c r="H19" i="3"/>
  <c r="H61" i="3"/>
  <c r="H97" i="3"/>
  <c r="H145" i="3"/>
  <c r="H16" i="3"/>
  <c r="H58" i="3"/>
  <c r="H94" i="3"/>
  <c r="H142" i="3"/>
  <c r="H31" i="3"/>
  <c r="H109" i="3"/>
  <c r="H160" i="3"/>
  <c r="H28" i="3"/>
  <c r="H70" i="3"/>
  <c r="H130" i="3"/>
  <c r="H157" i="3"/>
  <c r="H127" i="3"/>
  <c r="H37" i="3"/>
  <c r="H91" i="3"/>
  <c r="H124" i="3"/>
  <c r="H34" i="3"/>
  <c r="H88" i="3"/>
  <c r="H121" i="3"/>
  <c r="D184" i="3"/>
  <c r="H43" i="3"/>
  <c r="H85" i="3"/>
  <c r="H118" i="3"/>
  <c r="H169" i="3"/>
  <c r="H52" i="3"/>
  <c r="H82" i="3"/>
  <c r="H115" i="3"/>
  <c r="D178" i="3"/>
  <c r="H79" i="3"/>
  <c r="H112" i="3"/>
  <c r="D151" i="3"/>
  <c r="D154" i="3"/>
  <c r="D13" i="3"/>
  <c r="D100" i="3"/>
  <c r="D166" i="3"/>
  <c r="D160" i="3"/>
  <c r="D163" i="3"/>
  <c r="D148" i="3"/>
  <c r="D16" i="3"/>
  <c r="H13" i="3"/>
  <c r="AM42" i="1"/>
  <c r="L119" i="3" s="1"/>
  <c r="AL42" i="1"/>
  <c r="L118" i="3" s="1"/>
  <c r="AN42" i="1"/>
  <c r="L120" i="3" s="1"/>
  <c r="N42" i="1"/>
  <c r="AD42" i="1" s="1"/>
  <c r="AS42" i="1" s="1"/>
  <c r="M119" i="3" s="1"/>
  <c r="AM16" i="1"/>
  <c r="L32" i="3" s="1"/>
  <c r="X16" i="1"/>
  <c r="AS16" i="1" s="1"/>
  <c r="M32" i="3" s="1"/>
  <c r="AL16" i="1"/>
  <c r="L31" i="3" s="1"/>
  <c r="AN16" i="1"/>
  <c r="L33" i="3" s="1"/>
  <c r="N16" i="1"/>
  <c r="W16" i="1" s="1"/>
  <c r="AR16" i="1" s="1"/>
  <c r="M31" i="3" s="1"/>
  <c r="O39" i="1"/>
  <c r="AE39" i="1" s="1"/>
  <c r="Y38" i="1"/>
  <c r="O37" i="1"/>
  <c r="AC37" i="1" s="1"/>
  <c r="AL38" i="1"/>
  <c r="L103" i="3" s="1"/>
  <c r="AL37" i="1"/>
  <c r="L100" i="3" s="1"/>
  <c r="O38" i="1"/>
  <c r="AE38" i="1" s="1"/>
  <c r="AM38" i="1"/>
  <c r="L104" i="3" s="1"/>
  <c r="AM37" i="1"/>
  <c r="L101" i="3" s="1"/>
  <c r="AM39" i="1"/>
  <c r="L110" i="3" s="1"/>
  <c r="AN39" i="1"/>
  <c r="L111" i="3" s="1"/>
  <c r="N37" i="1"/>
  <c r="AD37" i="1" s="1"/>
  <c r="N38" i="1"/>
  <c r="AD38" i="1" s="1"/>
  <c r="AS38" i="1" s="1"/>
  <c r="M104" i="3" s="1"/>
  <c r="N39" i="1"/>
  <c r="AD39" i="1" s="1"/>
  <c r="O33" i="1"/>
  <c r="AE33" i="1" s="1"/>
  <c r="AL33" i="1"/>
  <c r="L88" i="3" s="1"/>
  <c r="AM33" i="1"/>
  <c r="L89" i="3" s="1"/>
  <c r="AN33" i="1"/>
  <c r="L90" i="3" s="1"/>
  <c r="N33" i="1"/>
  <c r="AD33" i="1" s="1"/>
  <c r="AQ18" i="1"/>
  <c r="K39" i="3" s="1"/>
  <c r="AP18" i="1"/>
  <c r="K38" i="3" s="1"/>
  <c r="AO18" i="1"/>
  <c r="K37" i="3" s="1"/>
  <c r="AH18" i="1"/>
  <c r="AK18" i="1" s="1"/>
  <c r="AG18" i="1"/>
  <c r="AJ18" i="1" s="1"/>
  <c r="AF18" i="1"/>
  <c r="AI18" i="1" s="1"/>
  <c r="AB18" i="1"/>
  <c r="AE18" i="1" s="1"/>
  <c r="AA18" i="1"/>
  <c r="AD18" i="1" s="1"/>
  <c r="Z18" i="1"/>
  <c r="AC18" i="1" s="1"/>
  <c r="S18" i="1"/>
  <c r="I37" i="3" s="1"/>
  <c r="L18" i="1"/>
  <c r="M18" i="1" s="1"/>
  <c r="G18" i="1"/>
  <c r="V18" i="1" s="1"/>
  <c r="F18" i="1"/>
  <c r="U18" i="1" s="1"/>
  <c r="E18" i="1"/>
  <c r="T18" i="1" s="1"/>
  <c r="AQ47" i="1"/>
  <c r="K135" i="3" s="1"/>
  <c r="AP47" i="1"/>
  <c r="K134" i="3" s="1"/>
  <c r="AO47" i="1"/>
  <c r="K133" i="3" s="1"/>
  <c r="AH47" i="1"/>
  <c r="AK47" i="1" s="1"/>
  <c r="AG47" i="1"/>
  <c r="AJ47" i="1" s="1"/>
  <c r="AF47" i="1"/>
  <c r="AI47" i="1" s="1"/>
  <c r="V47" i="1"/>
  <c r="T47" i="1"/>
  <c r="S47" i="1"/>
  <c r="L47" i="1"/>
  <c r="M47" i="1" s="1"/>
  <c r="K47" i="1"/>
  <c r="G47" i="1"/>
  <c r="AB47" i="1" s="1"/>
  <c r="F47" i="1"/>
  <c r="AA47" i="1" s="1"/>
  <c r="E47" i="1"/>
  <c r="Z47" i="1" s="1"/>
  <c r="AQ51" i="1"/>
  <c r="K150" i="3" s="1"/>
  <c r="AP51" i="1"/>
  <c r="K149" i="3" s="1"/>
  <c r="AO51" i="1"/>
  <c r="K148" i="3" s="1"/>
  <c r="AH51" i="1"/>
  <c r="AB51" i="1"/>
  <c r="AE51" i="1" s="1"/>
  <c r="AA51" i="1"/>
  <c r="AD51" i="1" s="1"/>
  <c r="Z51" i="1"/>
  <c r="AC51" i="1" s="1"/>
  <c r="S51" i="1"/>
  <c r="I148" i="3" s="1"/>
  <c r="L51" i="1"/>
  <c r="M51" i="1" s="1"/>
  <c r="K51" i="1"/>
  <c r="G51" i="1"/>
  <c r="F51" i="1"/>
  <c r="AG51" i="1" s="1"/>
  <c r="E51" i="1"/>
  <c r="AF51" i="1" s="1"/>
  <c r="AQ46" i="1"/>
  <c r="K132" i="3" s="1"/>
  <c r="AP46" i="1"/>
  <c r="K131" i="3" s="1"/>
  <c r="AO46" i="1"/>
  <c r="K130" i="3" s="1"/>
  <c r="AH46" i="1"/>
  <c r="AK46" i="1" s="1"/>
  <c r="AG46" i="1"/>
  <c r="AJ46" i="1" s="1"/>
  <c r="AF46" i="1"/>
  <c r="AI46" i="1" s="1"/>
  <c r="V46" i="1"/>
  <c r="Y46" i="1" s="1"/>
  <c r="U46" i="1"/>
  <c r="X46" i="1" s="1"/>
  <c r="T46" i="1"/>
  <c r="S46" i="1"/>
  <c r="L46" i="1"/>
  <c r="M46" i="1" s="1"/>
  <c r="K46" i="1"/>
  <c r="G46" i="1"/>
  <c r="AB46" i="1" s="1"/>
  <c r="F46" i="1"/>
  <c r="AA46" i="1" s="1"/>
  <c r="E46" i="1"/>
  <c r="Z46" i="1" s="1"/>
  <c r="AQ45" i="1"/>
  <c r="K129" i="3" s="1"/>
  <c r="AP45" i="1"/>
  <c r="K128" i="3" s="1"/>
  <c r="AO45" i="1"/>
  <c r="K127" i="3" s="1"/>
  <c r="AH45" i="1"/>
  <c r="AK45" i="1" s="1"/>
  <c r="AG45" i="1"/>
  <c r="AJ45" i="1" s="1"/>
  <c r="AF45" i="1"/>
  <c r="AI45" i="1" s="1"/>
  <c r="U45" i="1"/>
  <c r="T45" i="1"/>
  <c r="S45" i="1"/>
  <c r="I127" i="3" s="1"/>
  <c r="L45" i="1"/>
  <c r="M45" i="1" s="1"/>
  <c r="K45" i="1"/>
  <c r="G45" i="1"/>
  <c r="AB45" i="1" s="1"/>
  <c r="F45" i="1"/>
  <c r="AA45" i="1" s="1"/>
  <c r="E45" i="1"/>
  <c r="Z45" i="1" s="1"/>
  <c r="AQ44" i="1"/>
  <c r="AP44" i="1"/>
  <c r="K125" i="3" s="1"/>
  <c r="AO44" i="1"/>
  <c r="K124" i="3" s="1"/>
  <c r="AH44" i="1"/>
  <c r="AK44" i="1" s="1"/>
  <c r="AG44" i="1"/>
  <c r="AJ44" i="1" s="1"/>
  <c r="AF44" i="1"/>
  <c r="AI44" i="1" s="1"/>
  <c r="S44" i="1"/>
  <c r="I124" i="3" s="1"/>
  <c r="L44" i="1"/>
  <c r="M44" i="1" s="1"/>
  <c r="K44" i="1"/>
  <c r="G44" i="1"/>
  <c r="AB44" i="1" s="1"/>
  <c r="F44" i="1"/>
  <c r="AA44" i="1" s="1"/>
  <c r="E44" i="1"/>
  <c r="Z44" i="1" s="1"/>
  <c r="E48" i="1"/>
  <c r="G136" i="3" s="1"/>
  <c r="F48" i="1"/>
  <c r="G137" i="3" s="1"/>
  <c r="G48" i="1"/>
  <c r="G138" i="3" s="1"/>
  <c r="K48" i="1"/>
  <c r="L48" i="1"/>
  <c r="M48" i="1" s="1"/>
  <c r="S48" i="1"/>
  <c r="I136" i="3" s="1"/>
  <c r="T48" i="1"/>
  <c r="W48" i="1" s="1"/>
  <c r="U48" i="1"/>
  <c r="X48" i="1" s="1"/>
  <c r="V48" i="1"/>
  <c r="Y48" i="1" s="1"/>
  <c r="Z48" i="1"/>
  <c r="AB48" i="1"/>
  <c r="AN48" i="1" s="1"/>
  <c r="L138" i="3" s="1"/>
  <c r="AF48" i="1"/>
  <c r="AI48" i="1" s="1"/>
  <c r="AG48" i="1"/>
  <c r="AJ48" i="1" s="1"/>
  <c r="AH48" i="1"/>
  <c r="AK48" i="1" s="1"/>
  <c r="AO48" i="1"/>
  <c r="AP48" i="1"/>
  <c r="K137" i="3" s="1"/>
  <c r="AQ48" i="1"/>
  <c r="E49" i="1"/>
  <c r="AF49" i="1" s="1"/>
  <c r="AL49" i="1" s="1"/>
  <c r="L142" i="3" s="1"/>
  <c r="F49" i="1"/>
  <c r="AG49" i="1" s="1"/>
  <c r="G49" i="1"/>
  <c r="K49" i="1"/>
  <c r="L49" i="1"/>
  <c r="M49" i="1" s="1"/>
  <c r="S49" i="1"/>
  <c r="T49" i="1"/>
  <c r="U49" i="1"/>
  <c r="X49" i="1" s="1"/>
  <c r="V49" i="1"/>
  <c r="Y49" i="1" s="1"/>
  <c r="W49" i="1"/>
  <c r="Z49" i="1"/>
  <c r="AC49" i="1" s="1"/>
  <c r="AA49" i="1"/>
  <c r="AD49" i="1" s="1"/>
  <c r="AB49" i="1"/>
  <c r="AE49" i="1" s="1"/>
  <c r="AH49" i="1"/>
  <c r="AO49" i="1"/>
  <c r="K142" i="3" s="1"/>
  <c r="AP49" i="1"/>
  <c r="K143" i="3" s="1"/>
  <c r="AQ49" i="1"/>
  <c r="K144" i="3" s="1"/>
  <c r="E50" i="1"/>
  <c r="AF50" i="1" s="1"/>
  <c r="F50" i="1"/>
  <c r="G50" i="1"/>
  <c r="K50" i="1"/>
  <c r="L50" i="1"/>
  <c r="M50" i="1" s="1"/>
  <c r="S50" i="1"/>
  <c r="I145" i="3" s="1"/>
  <c r="T50" i="1"/>
  <c r="W50" i="1" s="1"/>
  <c r="U50" i="1"/>
  <c r="X50" i="1" s="1"/>
  <c r="V50" i="1"/>
  <c r="Y50" i="1" s="1"/>
  <c r="Z50" i="1"/>
  <c r="AC50" i="1" s="1"/>
  <c r="AA50" i="1"/>
  <c r="AD50" i="1" s="1"/>
  <c r="AB50" i="1"/>
  <c r="AE50" i="1" s="1"/>
  <c r="AG50" i="1"/>
  <c r="AH50" i="1"/>
  <c r="AN50" i="1"/>
  <c r="L147" i="3" s="1"/>
  <c r="AO50" i="1"/>
  <c r="K145" i="3" s="1"/>
  <c r="AP50" i="1"/>
  <c r="K146" i="3" s="1"/>
  <c r="AQ50" i="1"/>
  <c r="K147" i="3" s="1"/>
  <c r="AQ43" i="1"/>
  <c r="K123" i="3" s="1"/>
  <c r="AP43" i="1"/>
  <c r="K122" i="3" s="1"/>
  <c r="AO43" i="1"/>
  <c r="K121" i="3" s="1"/>
  <c r="AH43" i="1"/>
  <c r="AK43" i="1" s="1"/>
  <c r="AG43" i="1"/>
  <c r="AJ43" i="1" s="1"/>
  <c r="AF43" i="1"/>
  <c r="AI43" i="1" s="1"/>
  <c r="T43" i="1"/>
  <c r="S43" i="1"/>
  <c r="I121" i="3" s="1"/>
  <c r="L43" i="1"/>
  <c r="M43" i="1" s="1"/>
  <c r="K43" i="1"/>
  <c r="G43" i="1"/>
  <c r="AB43" i="1" s="1"/>
  <c r="F43" i="1"/>
  <c r="AA43" i="1" s="1"/>
  <c r="E43" i="1"/>
  <c r="Z43" i="1" s="1"/>
  <c r="AQ41" i="1"/>
  <c r="K117" i="3" s="1"/>
  <c r="AP41" i="1"/>
  <c r="K116" i="3" s="1"/>
  <c r="AO41" i="1"/>
  <c r="K115" i="3" s="1"/>
  <c r="AF41" i="1"/>
  <c r="V41" i="1"/>
  <c r="U41" i="1"/>
  <c r="X41" i="1" s="1"/>
  <c r="T41" i="1"/>
  <c r="W41" i="1" s="1"/>
  <c r="S41" i="1"/>
  <c r="I115" i="3" s="1"/>
  <c r="L41" i="1"/>
  <c r="M41" i="1" s="1"/>
  <c r="K41" i="1"/>
  <c r="G41" i="1"/>
  <c r="AB41" i="1" s="1"/>
  <c r="F41" i="1"/>
  <c r="AA41" i="1" s="1"/>
  <c r="E41" i="1"/>
  <c r="Z41" i="1" s="1"/>
  <c r="AQ40" i="1"/>
  <c r="K114" i="3" s="1"/>
  <c r="AP40" i="1"/>
  <c r="K113" i="3" s="1"/>
  <c r="AO40" i="1"/>
  <c r="K112" i="3" s="1"/>
  <c r="AH40" i="1"/>
  <c r="AF40" i="1"/>
  <c r="V40" i="1"/>
  <c r="U40" i="1"/>
  <c r="X40" i="1" s="1"/>
  <c r="T40" i="1"/>
  <c r="W40" i="1" s="1"/>
  <c r="S40" i="1"/>
  <c r="I112" i="3" s="1"/>
  <c r="L40" i="1"/>
  <c r="M40" i="1" s="1"/>
  <c r="K40" i="1"/>
  <c r="G40" i="1"/>
  <c r="AB40" i="1" s="1"/>
  <c r="F40" i="1"/>
  <c r="AA40" i="1" s="1"/>
  <c r="E40" i="1"/>
  <c r="Z40" i="1" s="1"/>
  <c r="AQ36" i="1"/>
  <c r="K99" i="3" s="1"/>
  <c r="AP36" i="1"/>
  <c r="K98" i="3" s="1"/>
  <c r="AO36" i="1"/>
  <c r="K97" i="3" s="1"/>
  <c r="AH36" i="1"/>
  <c r="V36" i="1"/>
  <c r="Y36" i="1" s="1"/>
  <c r="U36" i="1"/>
  <c r="X36" i="1" s="1"/>
  <c r="T36" i="1"/>
  <c r="W36" i="1" s="1"/>
  <c r="S36" i="1"/>
  <c r="I97" i="3" s="1"/>
  <c r="L36" i="1"/>
  <c r="M36" i="1" s="1"/>
  <c r="K36" i="1"/>
  <c r="G36" i="1"/>
  <c r="AB36" i="1" s="1"/>
  <c r="F36" i="1"/>
  <c r="AA36" i="1" s="1"/>
  <c r="E36" i="1"/>
  <c r="Z36" i="1" s="1"/>
  <c r="AQ35" i="1"/>
  <c r="K96" i="3" s="1"/>
  <c r="AP35" i="1"/>
  <c r="K95" i="3" s="1"/>
  <c r="AO35" i="1"/>
  <c r="K94" i="3" s="1"/>
  <c r="AH35" i="1"/>
  <c r="AG35" i="1"/>
  <c r="V35" i="1"/>
  <c r="Y35" i="1" s="1"/>
  <c r="U35" i="1"/>
  <c r="X35" i="1" s="1"/>
  <c r="T35" i="1"/>
  <c r="W35" i="1" s="1"/>
  <c r="S35" i="1"/>
  <c r="I94" i="3" s="1"/>
  <c r="L35" i="1"/>
  <c r="M35" i="1" s="1"/>
  <c r="K35" i="1"/>
  <c r="G35" i="1"/>
  <c r="AB35" i="1" s="1"/>
  <c r="F35" i="1"/>
  <c r="AA35" i="1" s="1"/>
  <c r="E35" i="1"/>
  <c r="Z35" i="1" s="1"/>
  <c r="AQ34" i="1"/>
  <c r="K93" i="3" s="1"/>
  <c r="AP34" i="1"/>
  <c r="K92" i="3" s="1"/>
  <c r="AO34" i="1"/>
  <c r="AH34" i="1"/>
  <c r="AK34" i="1" s="1"/>
  <c r="AG34" i="1"/>
  <c r="AJ34" i="1" s="1"/>
  <c r="AF34" i="1"/>
  <c r="AI34" i="1" s="1"/>
  <c r="U34" i="1"/>
  <c r="T34" i="1"/>
  <c r="S34" i="1"/>
  <c r="I91" i="3" s="1"/>
  <c r="L34" i="1"/>
  <c r="M34" i="1" s="1"/>
  <c r="K34" i="1"/>
  <c r="G34" i="1"/>
  <c r="AB34" i="1" s="1"/>
  <c r="F34" i="1"/>
  <c r="AA34" i="1" s="1"/>
  <c r="E34" i="1"/>
  <c r="Z34" i="1" s="1"/>
  <c r="AQ32" i="1"/>
  <c r="K87" i="3" s="1"/>
  <c r="AP32" i="1"/>
  <c r="K86" i="3" s="1"/>
  <c r="AO32" i="1"/>
  <c r="K85" i="3" s="1"/>
  <c r="AH32" i="1"/>
  <c r="AK32" i="1" s="1"/>
  <c r="AG32" i="1"/>
  <c r="AJ32" i="1" s="1"/>
  <c r="AF32" i="1"/>
  <c r="AI32" i="1" s="1"/>
  <c r="V32" i="1"/>
  <c r="T32" i="1"/>
  <c r="S32" i="1"/>
  <c r="I85" i="3" s="1"/>
  <c r="L32" i="1"/>
  <c r="M32" i="1" s="1"/>
  <c r="K32" i="1"/>
  <c r="G32" i="1"/>
  <c r="AB32" i="1" s="1"/>
  <c r="F32" i="1"/>
  <c r="AA32" i="1" s="1"/>
  <c r="E32" i="1"/>
  <c r="Z32" i="1" s="1"/>
  <c r="J32" i="3" l="1"/>
  <c r="J33" i="3"/>
  <c r="AA48" i="1"/>
  <c r="U32" i="1"/>
  <c r="AF36" i="1"/>
  <c r="AL48" i="1"/>
  <c r="L136" i="3" s="1"/>
  <c r="V45" i="1"/>
  <c r="U47" i="1"/>
  <c r="AG36" i="1"/>
  <c r="AS58" i="1"/>
  <c r="AM50" i="1"/>
  <c r="L146" i="3" s="1"/>
  <c r="V34" i="1"/>
  <c r="AG40" i="1"/>
  <c r="AG41" i="1"/>
  <c r="U43" i="1"/>
  <c r="T44" i="1"/>
  <c r="T51" i="1"/>
  <c r="AH41" i="1"/>
  <c r="V43" i="1"/>
  <c r="AN43" i="1" s="1"/>
  <c r="L123" i="3" s="1"/>
  <c r="U44" i="1"/>
  <c r="U51" i="1"/>
  <c r="AF35" i="1"/>
  <c r="V44" i="1"/>
  <c r="V51" i="1"/>
  <c r="AN51" i="1" s="1"/>
  <c r="L150" i="3" s="1"/>
  <c r="I142" i="3"/>
  <c r="J119" i="3"/>
  <c r="J31" i="3"/>
  <c r="X33" i="1"/>
  <c r="AS33" i="1" s="1"/>
  <c r="M89" i="3" s="1"/>
  <c r="J102" i="3"/>
  <c r="AK39" i="1"/>
  <c r="AT39" i="1" s="1"/>
  <c r="M111" i="3" s="1"/>
  <c r="J110" i="3"/>
  <c r="X37" i="1"/>
  <c r="AS37" i="1" s="1"/>
  <c r="M101" i="3" s="1"/>
  <c r="Y37" i="1"/>
  <c r="AJ39" i="1"/>
  <c r="AS39" i="1" s="1"/>
  <c r="M110" i="3" s="1"/>
  <c r="AI39" i="1"/>
  <c r="W37" i="1"/>
  <c r="AR37" i="1" s="1"/>
  <c r="M100" i="3" s="1"/>
  <c r="J100" i="3"/>
  <c r="Y33" i="1"/>
  <c r="AT33" i="1" s="1"/>
  <c r="M90" i="3" s="1"/>
  <c r="J88" i="3"/>
  <c r="J101" i="3"/>
  <c r="W33" i="1"/>
  <c r="J105" i="3"/>
  <c r="J104" i="3"/>
  <c r="J103" i="3"/>
  <c r="J109" i="3"/>
  <c r="J111" i="3"/>
  <c r="AC39" i="1"/>
  <c r="AE58" i="1"/>
  <c r="AT58" i="1" s="1"/>
  <c r="AC58" i="1"/>
  <c r="AR58" i="1" s="1"/>
  <c r="AL47" i="1"/>
  <c r="L133" i="3" s="1"/>
  <c r="AN47" i="1"/>
  <c r="L135" i="3" s="1"/>
  <c r="AL44" i="1"/>
  <c r="L124" i="3" s="1"/>
  <c r="J89" i="3"/>
  <c r="J90" i="3"/>
  <c r="AN18" i="1"/>
  <c r="L39" i="3" s="1"/>
  <c r="AT38" i="1"/>
  <c r="M105" i="3" s="1"/>
  <c r="AM48" i="1"/>
  <c r="L137" i="3" s="1"/>
  <c r="AL45" i="1"/>
  <c r="L127" i="3" s="1"/>
  <c r="AL50" i="1"/>
  <c r="AN49" i="1"/>
  <c r="L144" i="3" s="1"/>
  <c r="AM49" i="1"/>
  <c r="L143" i="3" s="1"/>
  <c r="AM47" i="1"/>
  <c r="L134" i="3" s="1"/>
  <c r="AC38" i="1"/>
  <c r="AR38" i="1" s="1"/>
  <c r="M103" i="3" s="1"/>
  <c r="AE37" i="1"/>
  <c r="AC33" i="1"/>
  <c r="AR33" i="1" s="1"/>
  <c r="M88" i="3" s="1"/>
  <c r="O44" i="1"/>
  <c r="AC44" i="1" s="1"/>
  <c r="N51" i="1"/>
  <c r="AK51" i="1" s="1"/>
  <c r="N46" i="1"/>
  <c r="AD46" i="1" s="1"/>
  <c r="AS46" i="1" s="1"/>
  <c r="M131" i="3" s="1"/>
  <c r="O18" i="1"/>
  <c r="X18" i="1" s="1"/>
  <c r="AS18" i="1" s="1"/>
  <c r="M38" i="3" s="1"/>
  <c r="AL18" i="1"/>
  <c r="L37" i="3" s="1"/>
  <c r="AM18" i="1"/>
  <c r="L38" i="3" s="1"/>
  <c r="N18" i="1"/>
  <c r="W18" i="1" s="1"/>
  <c r="AR18" i="1" s="1"/>
  <c r="M37" i="3" s="1"/>
  <c r="O40" i="1"/>
  <c r="AC40" i="1" s="1"/>
  <c r="O47" i="1"/>
  <c r="J134" i="3" s="1"/>
  <c r="O51" i="1"/>
  <c r="AJ51" i="1" s="1"/>
  <c r="O32" i="1"/>
  <c r="AC32" i="1" s="1"/>
  <c r="O35" i="1"/>
  <c r="AC35" i="1" s="1"/>
  <c r="N47" i="1"/>
  <c r="AD47" i="1" s="1"/>
  <c r="O45" i="1"/>
  <c r="AC45" i="1" s="1"/>
  <c r="O43" i="1"/>
  <c r="AC43" i="1" s="1"/>
  <c r="AL51" i="1"/>
  <c r="L148" i="3" s="1"/>
  <c r="AM51" i="1"/>
  <c r="L149" i="3" s="1"/>
  <c r="N45" i="1"/>
  <c r="AD45" i="1" s="1"/>
  <c r="W51" i="1"/>
  <c r="N49" i="1"/>
  <c r="AK49" i="1" s="1"/>
  <c r="AT49" i="1" s="1"/>
  <c r="M144" i="3" s="1"/>
  <c r="N44" i="1"/>
  <c r="AD44" i="1" s="1"/>
  <c r="N50" i="1"/>
  <c r="AK50" i="1" s="1"/>
  <c r="AT50" i="1" s="1"/>
  <c r="M147" i="3" s="1"/>
  <c r="N48" i="1"/>
  <c r="AD48" i="1" s="1"/>
  <c r="AS48" i="1" s="1"/>
  <c r="M137" i="3" s="1"/>
  <c r="AM44" i="1"/>
  <c r="L125" i="3" s="1"/>
  <c r="AN44" i="1"/>
  <c r="L126" i="3" s="1"/>
  <c r="AM46" i="1"/>
  <c r="L131" i="3" s="1"/>
  <c r="AN46" i="1"/>
  <c r="L132" i="3" s="1"/>
  <c r="O46" i="1"/>
  <c r="AC46" i="1" s="1"/>
  <c r="AM45" i="1"/>
  <c r="L128" i="3" s="1"/>
  <c r="AN45" i="1"/>
  <c r="L129" i="3" s="1"/>
  <c r="AL46" i="1"/>
  <c r="L130" i="3" s="1"/>
  <c r="N34" i="1"/>
  <c r="AD34" i="1" s="1"/>
  <c r="W46" i="1"/>
  <c r="O41" i="1"/>
  <c r="AE41" i="1" s="1"/>
  <c r="O50" i="1"/>
  <c r="J146" i="3" s="1"/>
  <c r="O49" i="1"/>
  <c r="J143" i="3" s="1"/>
  <c r="O48" i="1"/>
  <c r="J138" i="3" s="1"/>
  <c r="AL43" i="1"/>
  <c r="L121" i="3" s="1"/>
  <c r="AN41" i="1"/>
  <c r="L117" i="3" s="1"/>
  <c r="AN40" i="1"/>
  <c r="L114" i="3" s="1"/>
  <c r="Y40" i="1"/>
  <c r="Y41" i="1"/>
  <c r="AL40" i="1"/>
  <c r="L112" i="3" s="1"/>
  <c r="AL41" i="1"/>
  <c r="L115" i="3" s="1"/>
  <c r="AM43" i="1"/>
  <c r="L122" i="3" s="1"/>
  <c r="O36" i="1"/>
  <c r="AC36" i="1" s="1"/>
  <c r="N40" i="1"/>
  <c r="AD40" i="1" s="1"/>
  <c r="N41" i="1"/>
  <c r="AD41" i="1" s="1"/>
  <c r="N43" i="1"/>
  <c r="AD43" i="1" s="1"/>
  <c r="AN34" i="1"/>
  <c r="L93" i="3" s="1"/>
  <c r="AM36" i="1"/>
  <c r="L98" i="3" s="1"/>
  <c r="AM35" i="1"/>
  <c r="L95" i="3" s="1"/>
  <c r="AN36" i="1"/>
  <c r="L99" i="3" s="1"/>
  <c r="AL35" i="1"/>
  <c r="L94" i="3" s="1"/>
  <c r="AN35" i="1"/>
  <c r="L96" i="3" s="1"/>
  <c r="AL34" i="1"/>
  <c r="L91" i="3" s="1"/>
  <c r="AL36" i="1"/>
  <c r="L97" i="3" s="1"/>
  <c r="AM34" i="1"/>
  <c r="L92" i="3" s="1"/>
  <c r="N35" i="1"/>
  <c r="AD35" i="1" s="1"/>
  <c r="N36" i="1"/>
  <c r="AD36" i="1" s="1"/>
  <c r="O34" i="1"/>
  <c r="AE34" i="1" s="1"/>
  <c r="AL32" i="1"/>
  <c r="L85" i="3" s="1"/>
  <c r="AN32" i="1"/>
  <c r="L87" i="3" s="1"/>
  <c r="AM32" i="1"/>
  <c r="L86" i="3" s="1"/>
  <c r="N32" i="1"/>
  <c r="AD32" i="1" s="1"/>
  <c r="AK40" i="1" l="1"/>
  <c r="AJ40" i="1"/>
  <c r="X51" i="1"/>
  <c r="AJ41" i="1"/>
  <c r="AS41" i="1" s="1"/>
  <c r="M116" i="3" s="1"/>
  <c r="AM41" i="1"/>
  <c r="L116" i="3" s="1"/>
  <c r="AM40" i="1"/>
  <c r="L113" i="3" s="1"/>
  <c r="AI40" i="1"/>
  <c r="AR40" i="1" s="1"/>
  <c r="M112" i="3" s="1"/>
  <c r="AK41" i="1"/>
  <c r="Y51" i="1"/>
  <c r="AT51" i="1" s="1"/>
  <c r="M150" i="3" s="1"/>
  <c r="AS40" i="1"/>
  <c r="M113" i="3" s="1"/>
  <c r="AI41" i="1"/>
  <c r="AR39" i="1"/>
  <c r="M109" i="3" s="1"/>
  <c r="W45" i="1"/>
  <c r="J127" i="3"/>
  <c r="J94" i="3"/>
  <c r="J126" i="3"/>
  <c r="J114" i="3"/>
  <c r="W44" i="1"/>
  <c r="AR44" i="1" s="1"/>
  <c r="M124" i="3" s="1"/>
  <c r="Y43" i="1"/>
  <c r="Y47" i="1"/>
  <c r="AJ36" i="1"/>
  <c r="AT37" i="1"/>
  <c r="M102" i="3" s="1"/>
  <c r="J97" i="3"/>
  <c r="J122" i="3"/>
  <c r="J135" i="3"/>
  <c r="J145" i="3"/>
  <c r="J125" i="3"/>
  <c r="X45" i="1"/>
  <c r="AS45" i="1" s="1"/>
  <c r="M128" i="3" s="1"/>
  <c r="W34" i="1"/>
  <c r="J132" i="3"/>
  <c r="J147" i="3"/>
  <c r="J136" i="3"/>
  <c r="J98" i="3"/>
  <c r="J95" i="3"/>
  <c r="J128" i="3"/>
  <c r="AK35" i="1"/>
  <c r="J144" i="3"/>
  <c r="J85" i="3"/>
  <c r="J121" i="3"/>
  <c r="J99" i="3"/>
  <c r="J149" i="3"/>
  <c r="J131" i="3"/>
  <c r="AI36" i="1"/>
  <c r="J93" i="3"/>
  <c r="J91" i="3"/>
  <c r="AC47" i="1"/>
  <c r="X47" i="1"/>
  <c r="AS47" i="1" s="1"/>
  <c r="M134" i="3" s="1"/>
  <c r="W47" i="1"/>
  <c r="Y44" i="1"/>
  <c r="J129" i="3"/>
  <c r="AJ35" i="1"/>
  <c r="AS35" i="1" s="1"/>
  <c r="M95" i="3" s="1"/>
  <c r="J150" i="3"/>
  <c r="W43" i="1"/>
  <c r="AR43" i="1" s="1"/>
  <c r="M121" i="3" s="1"/>
  <c r="AR36" i="1"/>
  <c r="M97" i="3" s="1"/>
  <c r="X34" i="1"/>
  <c r="AS34" i="1" s="1"/>
  <c r="M92" i="3" s="1"/>
  <c r="J116" i="3"/>
  <c r="J92" i="3"/>
  <c r="AK36" i="1"/>
  <c r="J113" i="3"/>
  <c r="J137" i="3"/>
  <c r="J142" i="3"/>
  <c r="AI35" i="1"/>
  <c r="AR35" i="1" s="1"/>
  <c r="M94" i="3" s="1"/>
  <c r="J38" i="3"/>
  <c r="J39" i="3"/>
  <c r="Y32" i="1"/>
  <c r="J96" i="3"/>
  <c r="J148" i="3"/>
  <c r="Y45" i="1"/>
  <c r="AS36" i="1"/>
  <c r="M98" i="3" s="1"/>
  <c r="X32" i="1"/>
  <c r="AS32" i="1" s="1"/>
  <c r="M86" i="3" s="1"/>
  <c r="J133" i="3"/>
  <c r="J115" i="3"/>
  <c r="J37" i="3"/>
  <c r="X43" i="1"/>
  <c r="AS43" i="1" s="1"/>
  <c r="M122" i="3" s="1"/>
  <c r="J112" i="3"/>
  <c r="W32" i="1"/>
  <c r="AR32" i="1" s="1"/>
  <c r="M85" i="3" s="1"/>
  <c r="X44" i="1"/>
  <c r="AS44" i="1" s="1"/>
  <c r="M125" i="3" s="1"/>
  <c r="J117" i="3"/>
  <c r="J123" i="3"/>
  <c r="J130" i="3"/>
  <c r="Y34" i="1"/>
  <c r="AT34" i="1" s="1"/>
  <c r="M93" i="3" s="1"/>
  <c r="J124" i="3"/>
  <c r="J86" i="3"/>
  <c r="J87" i="3"/>
  <c r="AE35" i="1"/>
  <c r="AE44" i="1"/>
  <c r="Y18" i="1"/>
  <c r="AT18" i="1" s="1"/>
  <c r="M39" i="3" s="1"/>
  <c r="AE40" i="1"/>
  <c r="AT40" i="1" s="1"/>
  <c r="M114" i="3" s="1"/>
  <c r="AC34" i="1"/>
  <c r="AE43" i="1"/>
  <c r="AT43" i="1" s="1"/>
  <c r="M123" i="3" s="1"/>
  <c r="AE47" i="1"/>
  <c r="AT47" i="1" s="1"/>
  <c r="M135" i="3" s="1"/>
  <c r="AI51" i="1"/>
  <c r="AR51" i="1" s="1"/>
  <c r="M148" i="3" s="1"/>
  <c r="AE36" i="1"/>
  <c r="AE32" i="1"/>
  <c r="AR45" i="1"/>
  <c r="M127" i="3" s="1"/>
  <c r="AS51" i="1"/>
  <c r="M149" i="3" s="1"/>
  <c r="AC41" i="1"/>
  <c r="AE45" i="1"/>
  <c r="AE46" i="1"/>
  <c r="AT46" i="1" s="1"/>
  <c r="M132" i="3" s="1"/>
  <c r="AT41" i="1"/>
  <c r="M117" i="3" s="1"/>
  <c r="AC48" i="1"/>
  <c r="AR48" i="1" s="1"/>
  <c r="M136" i="3" s="1"/>
  <c r="AE48" i="1"/>
  <c r="AT48" i="1" s="1"/>
  <c r="M138" i="3" s="1"/>
  <c r="AI50" i="1"/>
  <c r="AR50" i="1" s="1"/>
  <c r="M145" i="3" s="1"/>
  <c r="AJ50" i="1"/>
  <c r="AS50" i="1" s="1"/>
  <c r="M146" i="3" s="1"/>
  <c r="AI49" i="1"/>
  <c r="AR49" i="1" s="1"/>
  <c r="M142" i="3" s="1"/>
  <c r="AJ49" i="1"/>
  <c r="AS49" i="1" s="1"/>
  <c r="M143" i="3" s="1"/>
  <c r="AR46" i="1"/>
  <c r="M130" i="3" s="1"/>
  <c r="AR41" i="1" l="1"/>
  <c r="M115" i="3" s="1"/>
  <c r="AR47" i="1"/>
  <c r="M133" i="3" s="1"/>
  <c r="AT36" i="1"/>
  <c r="M99" i="3" s="1"/>
  <c r="AR34" i="1"/>
  <c r="M91" i="3" s="1"/>
  <c r="AT45" i="1"/>
  <c r="M129" i="3" s="1"/>
  <c r="AT44" i="1"/>
  <c r="M126" i="3" s="1"/>
  <c r="AT35" i="1"/>
  <c r="M96" i="3" s="1"/>
  <c r="AT32" i="1"/>
  <c r="M87" i="3" s="1"/>
  <c r="AQ57" i="1"/>
  <c r="K165" i="3" s="1"/>
  <c r="AP57" i="1"/>
  <c r="K164" i="3" s="1"/>
  <c r="AO57" i="1"/>
  <c r="K163" i="3" s="1"/>
  <c r="AH57" i="1"/>
  <c r="AK57" i="1" s="1"/>
  <c r="AG57" i="1"/>
  <c r="AJ57" i="1" s="1"/>
  <c r="AF57" i="1"/>
  <c r="AI57" i="1" s="1"/>
  <c r="V57" i="1"/>
  <c r="Y57" i="1" s="1"/>
  <c r="U57" i="1"/>
  <c r="X57" i="1" s="1"/>
  <c r="T57" i="1"/>
  <c r="W57" i="1" s="1"/>
  <c r="S57" i="1"/>
  <c r="L57" i="1"/>
  <c r="M57" i="1" s="1"/>
  <c r="G57" i="1"/>
  <c r="F57" i="1"/>
  <c r="E57" i="1"/>
  <c r="Z57" i="1" l="1"/>
  <c r="AL57" i="1" s="1"/>
  <c r="AA57" i="1"/>
  <c r="AB57" i="1"/>
  <c r="AN57" i="1" s="1"/>
  <c r="AM57" i="1"/>
  <c r="AQ55" i="1" l="1"/>
  <c r="K159" i="3" s="1"/>
  <c r="AP55" i="1"/>
  <c r="K158" i="3" s="1"/>
  <c r="AO55" i="1"/>
  <c r="K157" i="3" s="1"/>
  <c r="AB55" i="1"/>
  <c r="AE55" i="1" s="1"/>
  <c r="AA55" i="1"/>
  <c r="AD55" i="1" s="1"/>
  <c r="Z55" i="1"/>
  <c r="AC55" i="1" s="1"/>
  <c r="S55" i="1"/>
  <c r="L55" i="1"/>
  <c r="M55" i="1" s="1"/>
  <c r="K55" i="1"/>
  <c r="G55" i="1"/>
  <c r="V55" i="1" s="1"/>
  <c r="F55" i="1"/>
  <c r="U55" i="1" s="1"/>
  <c r="E55" i="1"/>
  <c r="T55" i="1" s="1"/>
  <c r="AQ68" i="1"/>
  <c r="K192" i="3" s="1"/>
  <c r="AP68" i="1"/>
  <c r="K191" i="3" s="1"/>
  <c r="AO68" i="1"/>
  <c r="K190" i="3" s="1"/>
  <c r="AH68" i="1"/>
  <c r="AK68" i="1" s="1"/>
  <c r="AG68" i="1"/>
  <c r="AJ68" i="1" s="1"/>
  <c r="AF68" i="1"/>
  <c r="AI68" i="1" s="1"/>
  <c r="V68" i="1"/>
  <c r="Y68" i="1" s="1"/>
  <c r="U68" i="1"/>
  <c r="X68" i="1" s="1"/>
  <c r="T68" i="1"/>
  <c r="W68" i="1" s="1"/>
  <c r="S68" i="1"/>
  <c r="L68" i="1"/>
  <c r="M68" i="1" s="1"/>
  <c r="K68" i="1"/>
  <c r="G68" i="1"/>
  <c r="AB68" i="1" s="1"/>
  <c r="F68" i="1"/>
  <c r="E68" i="1"/>
  <c r="AQ30" i="1"/>
  <c r="K81" i="3" s="1"/>
  <c r="AP30" i="1"/>
  <c r="K80" i="3" s="1"/>
  <c r="AO30" i="1"/>
  <c r="K79" i="3" s="1"/>
  <c r="AH30" i="1"/>
  <c r="AK30" i="1" s="1"/>
  <c r="AG30" i="1"/>
  <c r="AJ30" i="1" s="1"/>
  <c r="AF30" i="1"/>
  <c r="AI30" i="1" s="1"/>
  <c r="V30" i="1"/>
  <c r="Y30" i="1" s="1"/>
  <c r="U30" i="1"/>
  <c r="X30" i="1" s="1"/>
  <c r="T30" i="1"/>
  <c r="W30" i="1" s="1"/>
  <c r="S30" i="1"/>
  <c r="I79" i="3" s="1"/>
  <c r="L30" i="1"/>
  <c r="M30" i="1" s="1"/>
  <c r="K30" i="1"/>
  <c r="G30" i="1"/>
  <c r="AB30" i="1" s="1"/>
  <c r="F30" i="1"/>
  <c r="AA30" i="1" s="1"/>
  <c r="E30" i="1"/>
  <c r="Z30" i="1" s="1"/>
  <c r="AQ65" i="1"/>
  <c r="K189" i="3" s="1"/>
  <c r="AP65" i="1"/>
  <c r="K188" i="3" s="1"/>
  <c r="AO65" i="1"/>
  <c r="K187" i="3" s="1"/>
  <c r="AH65" i="1"/>
  <c r="AK65" i="1" s="1"/>
  <c r="AG65" i="1"/>
  <c r="AJ65" i="1" s="1"/>
  <c r="AF65" i="1"/>
  <c r="AI65" i="1" s="1"/>
  <c r="V65" i="1"/>
  <c r="Y65" i="1" s="1"/>
  <c r="U65" i="1"/>
  <c r="X65" i="1" s="1"/>
  <c r="T65" i="1"/>
  <c r="W65" i="1" s="1"/>
  <c r="S65" i="1"/>
  <c r="L65" i="1"/>
  <c r="M65" i="1" s="1"/>
  <c r="K65" i="1"/>
  <c r="G65" i="1"/>
  <c r="F65" i="1"/>
  <c r="E65" i="1"/>
  <c r="AQ11" i="1"/>
  <c r="K18" i="3" s="1"/>
  <c r="AP11" i="1"/>
  <c r="K17" i="3" s="1"/>
  <c r="AO11" i="1"/>
  <c r="K16" i="3" s="1"/>
  <c r="AG11" i="1"/>
  <c r="AF11" i="1"/>
  <c r="AB11" i="1"/>
  <c r="AE11" i="1" s="1"/>
  <c r="AA11" i="1"/>
  <c r="AD11" i="1" s="1"/>
  <c r="Z11" i="1"/>
  <c r="AC11" i="1" s="1"/>
  <c r="S11" i="1"/>
  <c r="I16" i="3" s="1"/>
  <c r="L11" i="1"/>
  <c r="M11" i="1" s="1"/>
  <c r="K11" i="1"/>
  <c r="G11" i="1"/>
  <c r="AH11" i="1" s="1"/>
  <c r="F11" i="1"/>
  <c r="E11" i="1"/>
  <c r="E12" i="1"/>
  <c r="F12" i="1"/>
  <c r="G12" i="1"/>
  <c r="K12" i="1"/>
  <c r="L12" i="1"/>
  <c r="M12" i="1" s="1"/>
  <c r="S12" i="1"/>
  <c r="T12" i="1"/>
  <c r="W12" i="1" s="1"/>
  <c r="U12" i="1"/>
  <c r="X12" i="1" s="1"/>
  <c r="V12" i="1"/>
  <c r="AF12" i="1"/>
  <c r="AI12" i="1" s="1"/>
  <c r="AG12" i="1"/>
  <c r="AJ12" i="1" s="1"/>
  <c r="AH12" i="1"/>
  <c r="AK12" i="1" s="1"/>
  <c r="AO12" i="1"/>
  <c r="K19" i="3" s="1"/>
  <c r="AP12" i="1"/>
  <c r="K20" i="3" s="1"/>
  <c r="AQ12" i="1"/>
  <c r="K21" i="3" s="1"/>
  <c r="E14" i="1"/>
  <c r="T14" i="1" s="1"/>
  <c r="F14" i="1"/>
  <c r="U14" i="1" s="1"/>
  <c r="G14" i="1"/>
  <c r="V14" i="1" s="1"/>
  <c r="K14" i="1"/>
  <c r="L14" i="1"/>
  <c r="M14" i="1" s="1"/>
  <c r="S14" i="1"/>
  <c r="Z14" i="1"/>
  <c r="AC14" i="1" s="1"/>
  <c r="AA14" i="1"/>
  <c r="AD14" i="1" s="1"/>
  <c r="AB14" i="1"/>
  <c r="AE14" i="1" s="1"/>
  <c r="AF14" i="1"/>
  <c r="AI14" i="1" s="1"/>
  <c r="AG14" i="1"/>
  <c r="AJ14" i="1" s="1"/>
  <c r="AH14" i="1"/>
  <c r="AK14" i="1" s="1"/>
  <c r="AO14" i="1"/>
  <c r="K25" i="3" s="1"/>
  <c r="AP14" i="1"/>
  <c r="K26" i="3" s="1"/>
  <c r="AQ14" i="1"/>
  <c r="K27" i="3" s="1"/>
  <c r="Z68" i="1" l="1"/>
  <c r="AA68" i="1"/>
  <c r="AG55" i="1"/>
  <c r="AF55" i="1"/>
  <c r="AH55" i="1"/>
  <c r="AN14" i="1"/>
  <c r="L27" i="3" s="1"/>
  <c r="AB12" i="1"/>
  <c r="AN12" i="1" s="1"/>
  <c r="L21" i="3" s="1"/>
  <c r="AA12" i="1"/>
  <c r="AM12" i="1" s="1"/>
  <c r="L20" i="3" s="1"/>
  <c r="Z12" i="1"/>
  <c r="AL12" i="1" s="1"/>
  <c r="L19" i="3" s="1"/>
  <c r="T11" i="1"/>
  <c r="G16" i="3"/>
  <c r="U11" i="1"/>
  <c r="G17" i="3"/>
  <c r="V11" i="1"/>
  <c r="AN11" i="1" s="1"/>
  <c r="L18" i="3" s="1"/>
  <c r="AB65" i="1"/>
  <c r="AN65" i="1" s="1"/>
  <c r="L189" i="3" s="1"/>
  <c r="AA65" i="1"/>
  <c r="AM65" i="1" s="1"/>
  <c r="L188" i="3" s="1"/>
  <c r="Z65" i="1"/>
  <c r="AL65" i="1" s="1"/>
  <c r="L187" i="3" s="1"/>
  <c r="N65" i="1"/>
  <c r="O30" i="1"/>
  <c r="AC30" i="1" s="1"/>
  <c r="AR30" i="1" s="1"/>
  <c r="M79" i="3" s="1"/>
  <c r="N55" i="1"/>
  <c r="W55" i="1" s="1"/>
  <c r="O68" i="1"/>
  <c r="AL55" i="1"/>
  <c r="L157" i="3" s="1"/>
  <c r="AM55" i="1"/>
  <c r="L158" i="3" s="1"/>
  <c r="AN55" i="1"/>
  <c r="L159" i="3" s="1"/>
  <c r="O55" i="1"/>
  <c r="X55" i="1" s="1"/>
  <c r="AL68" i="1"/>
  <c r="L190" i="3" s="1"/>
  <c r="AM68" i="1"/>
  <c r="L191" i="3" s="1"/>
  <c r="AN68" i="1"/>
  <c r="L192" i="3" s="1"/>
  <c r="N68" i="1"/>
  <c r="J200" i="3" s="1"/>
  <c r="AL30" i="1"/>
  <c r="L79" i="3" s="1"/>
  <c r="AM30" i="1"/>
  <c r="L80" i="3" s="1"/>
  <c r="AN30" i="1"/>
  <c r="L81" i="3" s="1"/>
  <c r="N30" i="1"/>
  <c r="O65" i="1"/>
  <c r="N12" i="1"/>
  <c r="O11" i="1"/>
  <c r="AI11" i="1" s="1"/>
  <c r="AM11" i="1"/>
  <c r="L17" i="3" s="1"/>
  <c r="AL11" i="1"/>
  <c r="L16" i="3" s="1"/>
  <c r="N14" i="1"/>
  <c r="J25" i="3" s="1"/>
  <c r="N11" i="1"/>
  <c r="O12" i="1"/>
  <c r="Y12" i="1"/>
  <c r="O14" i="1"/>
  <c r="Y14" i="1" s="1"/>
  <c r="AT14" i="1" s="1"/>
  <c r="M27" i="3" s="1"/>
  <c r="AM14" i="1"/>
  <c r="L26" i="3" s="1"/>
  <c r="AL14" i="1"/>
  <c r="L25" i="3" s="1"/>
  <c r="J199" i="3" l="1"/>
  <c r="J201" i="3"/>
  <c r="J198" i="3"/>
  <c r="J196" i="3"/>
  <c r="J194" i="3"/>
  <c r="J197" i="3"/>
  <c r="J195" i="3"/>
  <c r="J193" i="3"/>
  <c r="W11" i="1"/>
  <c r="AR11" i="1" s="1"/>
  <c r="M16" i="3" s="1"/>
  <c r="J18" i="3"/>
  <c r="W14" i="1"/>
  <c r="AR14" i="1" s="1"/>
  <c r="M25" i="3" s="1"/>
  <c r="J16" i="3"/>
  <c r="AD12" i="1"/>
  <c r="AS12" i="1" s="1"/>
  <c r="M20" i="3" s="1"/>
  <c r="J20" i="3"/>
  <c r="X14" i="1"/>
  <c r="AS14" i="1" s="1"/>
  <c r="M26" i="3" s="1"/>
  <c r="J27" i="3"/>
  <c r="J26" i="3"/>
  <c r="AC68" i="1"/>
  <c r="AR68" i="1" s="1"/>
  <c r="AE12" i="1"/>
  <c r="AT12" i="1" s="1"/>
  <c r="M21" i="3" s="1"/>
  <c r="J19" i="3"/>
  <c r="J21" i="3"/>
  <c r="AD65" i="1"/>
  <c r="AS65" i="1" s="1"/>
  <c r="AJ11" i="1"/>
  <c r="AD68" i="1"/>
  <c r="AS68" i="1" s="1"/>
  <c r="Y11" i="1"/>
  <c r="J17" i="3"/>
  <c r="AK11" i="1"/>
  <c r="AC65" i="1"/>
  <c r="AR65" i="1" s="1"/>
  <c r="Y55" i="1"/>
  <c r="AJ55" i="1"/>
  <c r="AS55" i="1" s="1"/>
  <c r="AK55" i="1"/>
  <c r="AD30" i="1"/>
  <c r="AS30" i="1" s="1"/>
  <c r="M80" i="3" s="1"/>
  <c r="J80" i="3"/>
  <c r="AE30" i="1"/>
  <c r="AT30" i="1" s="1"/>
  <c r="M81" i="3" s="1"/>
  <c r="J79" i="3"/>
  <c r="J81" i="3"/>
  <c r="AE68" i="1"/>
  <c r="AT68" i="1" s="1"/>
  <c r="X11" i="1"/>
  <c r="AI55" i="1"/>
  <c r="AR55" i="1" s="1"/>
  <c r="AE65" i="1"/>
  <c r="AT65" i="1" s="1"/>
  <c r="AC12" i="1"/>
  <c r="AR12" i="1" s="1"/>
  <c r="M19" i="3" s="1"/>
  <c r="M197" i="3" l="1"/>
  <c r="M200" i="3"/>
  <c r="M196" i="3"/>
  <c r="M199" i="3"/>
  <c r="M198" i="3"/>
  <c r="M201" i="3"/>
  <c r="M194" i="3"/>
  <c r="M195" i="3"/>
  <c r="M193" i="3"/>
  <c r="AT11" i="1"/>
  <c r="M18" i="3" s="1"/>
  <c r="AS11" i="1"/>
  <c r="M17" i="3" s="1"/>
  <c r="AT55" i="1"/>
  <c r="AQ59" i="1"/>
  <c r="AP59" i="1"/>
  <c r="AO59" i="1"/>
  <c r="AH59" i="1"/>
  <c r="AK59" i="1" s="1"/>
  <c r="AG59" i="1"/>
  <c r="AJ59" i="1" s="1"/>
  <c r="AF59" i="1"/>
  <c r="AI59" i="1" s="1"/>
  <c r="S59" i="1"/>
  <c r="L59" i="1"/>
  <c r="M59" i="1" s="1"/>
  <c r="K59" i="1"/>
  <c r="K175" i="3" l="1"/>
  <c r="K169" i="3"/>
  <c r="K177" i="3"/>
  <c r="K171" i="3"/>
  <c r="K176" i="3"/>
  <c r="K170" i="3"/>
  <c r="O59" i="1"/>
  <c r="N59" i="1"/>
  <c r="J170" i="3" l="1"/>
  <c r="J171" i="3"/>
  <c r="J169" i="3"/>
  <c r="E59" i="1" l="1"/>
  <c r="F59" i="1"/>
  <c r="G59" i="1"/>
  <c r="V59" i="1" l="1"/>
  <c r="AB59" i="1"/>
  <c r="AE59" i="1" s="1"/>
  <c r="U59" i="1"/>
  <c r="AA59" i="1"/>
  <c r="AD59" i="1" s="1"/>
  <c r="T59" i="1"/>
  <c r="W59" i="1" s="1"/>
  <c r="Z59" i="1"/>
  <c r="AC59" i="1" s="1"/>
  <c r="AN59" i="1"/>
  <c r="L177" i="3" s="1"/>
  <c r="Y59" i="1"/>
  <c r="AT59" i="1" s="1"/>
  <c r="M171" i="3" s="1"/>
  <c r="X59" i="1"/>
  <c r="AQ62" i="1"/>
  <c r="K180" i="3" s="1"/>
  <c r="AP62" i="1"/>
  <c r="K179" i="3" s="1"/>
  <c r="AO62" i="1"/>
  <c r="K178" i="3" s="1"/>
  <c r="AB62" i="1"/>
  <c r="AE62" i="1" s="1"/>
  <c r="AA62" i="1"/>
  <c r="AD62" i="1" s="1"/>
  <c r="Z62" i="1"/>
  <c r="AC62" i="1" s="1"/>
  <c r="T62" i="1"/>
  <c r="S62" i="1"/>
  <c r="L62" i="1"/>
  <c r="M62" i="1" s="1"/>
  <c r="K62" i="1"/>
  <c r="G62" i="1"/>
  <c r="F62" i="1"/>
  <c r="E62" i="1"/>
  <c r="AR59" i="1" l="1"/>
  <c r="AM59" i="1"/>
  <c r="L176" i="3" s="1"/>
  <c r="AS59" i="1"/>
  <c r="AL59" i="1"/>
  <c r="L175" i="3" s="1"/>
  <c r="AF62" i="1"/>
  <c r="U62" i="1"/>
  <c r="V62" i="1"/>
  <c r="AG62" i="1"/>
  <c r="AM62" i="1" s="1"/>
  <c r="L179" i="3" s="1"/>
  <c r="AH62" i="1"/>
  <c r="AN62" i="1" s="1"/>
  <c r="L180" i="3" s="1"/>
  <c r="N62" i="1"/>
  <c r="O62" i="1"/>
  <c r="AL62" i="1"/>
  <c r="L178" i="3" s="1"/>
  <c r="F24" i="2"/>
  <c r="J175" i="3" l="1"/>
  <c r="J176" i="3"/>
  <c r="J177" i="3"/>
  <c r="M170" i="3"/>
  <c r="M169" i="3"/>
  <c r="W62" i="1"/>
  <c r="Y62" i="1"/>
  <c r="AK62" i="1"/>
  <c r="AJ62" i="1"/>
  <c r="AI62" i="1"/>
  <c r="X62" i="1"/>
  <c r="AS62" i="1" s="1"/>
  <c r="M176" i="3" s="1"/>
  <c r="AR62" i="1" l="1"/>
  <c r="AT62" i="1"/>
  <c r="S15" i="1"/>
  <c r="S17" i="1"/>
  <c r="I34" i="3" s="1"/>
  <c r="S19" i="1"/>
  <c r="I43" i="3" s="1"/>
  <c r="S20" i="1"/>
  <c r="I46" i="3" s="1"/>
  <c r="S21" i="1"/>
  <c r="I51" i="3" s="1"/>
  <c r="S22" i="1"/>
  <c r="I52" i="3" s="1"/>
  <c r="S23" i="1"/>
  <c r="I57" i="3" s="1"/>
  <c r="S24" i="1"/>
  <c r="I58" i="3" s="1"/>
  <c r="S25" i="1"/>
  <c r="I61" i="3" s="1"/>
  <c r="S26" i="1"/>
  <c r="I64" i="3" s="1"/>
  <c r="S27" i="1"/>
  <c r="I67" i="3" s="1"/>
  <c r="S28" i="1"/>
  <c r="I70" i="3" s="1"/>
  <c r="S29" i="1"/>
  <c r="I76" i="3" s="1"/>
  <c r="S31" i="1"/>
  <c r="I82" i="3" s="1"/>
  <c r="S54" i="1"/>
  <c r="S56" i="1"/>
  <c r="S63" i="1"/>
  <c r="S64" i="1"/>
  <c r="AO13" i="1"/>
  <c r="K22" i="3" s="1"/>
  <c r="AP13" i="1"/>
  <c r="K23" i="3" s="1"/>
  <c r="AQ13" i="1"/>
  <c r="K24" i="3" s="1"/>
  <c r="AO15" i="1"/>
  <c r="K28" i="3" s="1"/>
  <c r="AP15" i="1"/>
  <c r="K29" i="3" s="1"/>
  <c r="AQ15" i="1"/>
  <c r="K30" i="3" s="1"/>
  <c r="AO17" i="1"/>
  <c r="K34" i="3" s="1"/>
  <c r="AP17" i="1"/>
  <c r="K35" i="3" s="1"/>
  <c r="AQ17" i="1"/>
  <c r="K36" i="3" s="1"/>
  <c r="AO19" i="1"/>
  <c r="K43" i="3" s="1"/>
  <c r="AP19" i="1"/>
  <c r="K44" i="3" s="1"/>
  <c r="AQ19" i="1"/>
  <c r="K45" i="3" s="1"/>
  <c r="AO20" i="1"/>
  <c r="K46" i="3" s="1"/>
  <c r="AP20" i="1"/>
  <c r="K47" i="3" s="1"/>
  <c r="AQ20" i="1"/>
  <c r="K48" i="3" s="1"/>
  <c r="AO21" i="1"/>
  <c r="K49" i="3" s="1"/>
  <c r="AP21" i="1"/>
  <c r="K50" i="3" s="1"/>
  <c r="AQ21" i="1"/>
  <c r="K51" i="3" s="1"/>
  <c r="AO22" i="1"/>
  <c r="K52" i="3" s="1"/>
  <c r="AP22" i="1"/>
  <c r="K53" i="3" s="1"/>
  <c r="AQ22" i="1"/>
  <c r="K54" i="3" s="1"/>
  <c r="AO23" i="1"/>
  <c r="K55" i="3" s="1"/>
  <c r="AP23" i="1"/>
  <c r="K56" i="3" s="1"/>
  <c r="AQ23" i="1"/>
  <c r="K57" i="3" s="1"/>
  <c r="AO24" i="1"/>
  <c r="K58" i="3" s="1"/>
  <c r="AP24" i="1"/>
  <c r="K59" i="3" s="1"/>
  <c r="AQ24" i="1"/>
  <c r="K60" i="3" s="1"/>
  <c r="AO25" i="1"/>
  <c r="K61" i="3" s="1"/>
  <c r="AP25" i="1"/>
  <c r="K62" i="3" s="1"/>
  <c r="AQ25" i="1"/>
  <c r="K63" i="3" s="1"/>
  <c r="AO26" i="1"/>
  <c r="K64" i="3" s="1"/>
  <c r="AP26" i="1"/>
  <c r="K65" i="3" s="1"/>
  <c r="AQ26" i="1"/>
  <c r="K66" i="3" s="1"/>
  <c r="AO27" i="1"/>
  <c r="K67" i="3" s="1"/>
  <c r="AP27" i="1"/>
  <c r="K68" i="3" s="1"/>
  <c r="AQ27" i="1"/>
  <c r="K69" i="3" s="1"/>
  <c r="AO28" i="1"/>
  <c r="K70" i="3" s="1"/>
  <c r="AP28" i="1"/>
  <c r="K71" i="3" s="1"/>
  <c r="AQ28" i="1"/>
  <c r="K72" i="3" s="1"/>
  <c r="AO29" i="1"/>
  <c r="K76" i="3" s="1"/>
  <c r="AP29" i="1"/>
  <c r="K77" i="3" s="1"/>
  <c r="AQ29" i="1"/>
  <c r="K78" i="3" s="1"/>
  <c r="AO31" i="1"/>
  <c r="K82" i="3" s="1"/>
  <c r="AP31" i="1"/>
  <c r="K83" i="3" s="1"/>
  <c r="AQ31" i="1"/>
  <c r="K84" i="3" s="1"/>
  <c r="AO54" i="1"/>
  <c r="AP54" i="1"/>
  <c r="AQ54" i="1"/>
  <c r="AO56" i="1"/>
  <c r="K160" i="3" s="1"/>
  <c r="AP56" i="1"/>
  <c r="K161" i="3" s="1"/>
  <c r="AQ56" i="1"/>
  <c r="K162" i="3" s="1"/>
  <c r="AO63" i="1"/>
  <c r="K181" i="3" s="1"/>
  <c r="AP63" i="1"/>
  <c r="K182" i="3" s="1"/>
  <c r="AQ63" i="1"/>
  <c r="K183" i="3" s="1"/>
  <c r="AO64" i="1"/>
  <c r="K184" i="3" s="1"/>
  <c r="AP64" i="1"/>
  <c r="K185" i="3" s="1"/>
  <c r="AQ64" i="1"/>
  <c r="K186" i="3" s="1"/>
  <c r="Z13" i="1"/>
  <c r="AA13" i="1"/>
  <c r="AD13" i="1" s="1"/>
  <c r="AB13" i="1"/>
  <c r="AE13" i="1" s="1"/>
  <c r="Z15" i="1"/>
  <c r="AA15" i="1"/>
  <c r="AB15" i="1"/>
  <c r="AF15" i="1"/>
  <c r="AI15" i="1" s="1"/>
  <c r="AG15" i="1"/>
  <c r="AJ15" i="1" s="1"/>
  <c r="AH15" i="1"/>
  <c r="AK15" i="1" s="1"/>
  <c r="Z17" i="1"/>
  <c r="AC17" i="1" s="1"/>
  <c r="AA17" i="1"/>
  <c r="AB17" i="1"/>
  <c r="AF17" i="1"/>
  <c r="AI17" i="1" s="1"/>
  <c r="AG17" i="1"/>
  <c r="AJ17" i="1" s="1"/>
  <c r="AH17" i="1"/>
  <c r="AK17" i="1" s="1"/>
  <c r="Z19" i="1"/>
  <c r="AC19" i="1" s="1"/>
  <c r="AA19" i="1"/>
  <c r="AD19" i="1" s="1"/>
  <c r="AB19" i="1"/>
  <c r="AF19" i="1"/>
  <c r="AI19" i="1" s="1"/>
  <c r="AG19" i="1"/>
  <c r="AJ19" i="1" s="1"/>
  <c r="AH19" i="1"/>
  <c r="AK19" i="1" s="1"/>
  <c r="AF20" i="1"/>
  <c r="AI20" i="1" s="1"/>
  <c r="AG20" i="1"/>
  <c r="AJ20" i="1" s="1"/>
  <c r="AH20" i="1"/>
  <c r="AK20" i="1" s="1"/>
  <c r="Z21" i="1"/>
  <c r="AC21" i="1" s="1"/>
  <c r="AA21" i="1"/>
  <c r="AD21" i="1" s="1"/>
  <c r="AB21" i="1"/>
  <c r="AE21" i="1" s="1"/>
  <c r="AF21" i="1"/>
  <c r="AI21" i="1" s="1"/>
  <c r="AG21" i="1"/>
  <c r="AJ21" i="1" s="1"/>
  <c r="AH21" i="1"/>
  <c r="AK21" i="1" s="1"/>
  <c r="Z22" i="1"/>
  <c r="AC22" i="1" s="1"/>
  <c r="AA22" i="1"/>
  <c r="AD22" i="1" s="1"/>
  <c r="AB22" i="1"/>
  <c r="AE22" i="1" s="1"/>
  <c r="AF22" i="1"/>
  <c r="AG22" i="1"/>
  <c r="AJ22" i="1" s="1"/>
  <c r="AH22" i="1"/>
  <c r="AK22" i="1" s="1"/>
  <c r="AF23" i="1"/>
  <c r="AI23" i="1" s="1"/>
  <c r="AG23" i="1"/>
  <c r="AH23" i="1"/>
  <c r="AK23" i="1" s="1"/>
  <c r="Z24" i="1"/>
  <c r="AA24" i="1"/>
  <c r="AB24" i="1"/>
  <c r="AE24" i="1" s="1"/>
  <c r="AF24" i="1"/>
  <c r="AI24" i="1" s="1"/>
  <c r="AG24" i="1"/>
  <c r="AJ24" i="1" s="1"/>
  <c r="AH24" i="1"/>
  <c r="Z25" i="1"/>
  <c r="AA25" i="1"/>
  <c r="AB25" i="1"/>
  <c r="Z26" i="1"/>
  <c r="AC26" i="1" s="1"/>
  <c r="AA26" i="1"/>
  <c r="AD26" i="1" s="1"/>
  <c r="AB26" i="1"/>
  <c r="AE26" i="1" s="1"/>
  <c r="Z27" i="1"/>
  <c r="AC27" i="1" s="1"/>
  <c r="AA27" i="1"/>
  <c r="AD27" i="1" s="1"/>
  <c r="AB27" i="1"/>
  <c r="AE27" i="1" s="1"/>
  <c r="AF28" i="1"/>
  <c r="AI28" i="1" s="1"/>
  <c r="AG28" i="1"/>
  <c r="AH28" i="1"/>
  <c r="AK28" i="1" s="1"/>
  <c r="AF31" i="1"/>
  <c r="AI31" i="1" s="1"/>
  <c r="AG31" i="1"/>
  <c r="AJ31" i="1" s="1"/>
  <c r="AH31" i="1"/>
  <c r="AK31" i="1" s="1"/>
  <c r="AF56" i="1"/>
  <c r="AI56" i="1" s="1"/>
  <c r="AG56" i="1"/>
  <c r="AJ56" i="1" s="1"/>
  <c r="AH56" i="1"/>
  <c r="AF63" i="1"/>
  <c r="AI63" i="1" s="1"/>
  <c r="AG63" i="1"/>
  <c r="AJ63" i="1" s="1"/>
  <c r="AH63" i="1"/>
  <c r="AK63" i="1" s="1"/>
  <c r="Z64" i="1"/>
  <c r="AC64" i="1" s="1"/>
  <c r="AA64" i="1"/>
  <c r="AD64" i="1" s="1"/>
  <c r="AB64" i="1"/>
  <c r="AE64" i="1" s="1"/>
  <c r="T13" i="1"/>
  <c r="U13" i="1"/>
  <c r="X13" i="1" s="1"/>
  <c r="V13" i="1"/>
  <c r="T20" i="1"/>
  <c r="W20" i="1" s="1"/>
  <c r="U20" i="1"/>
  <c r="X20" i="1" s="1"/>
  <c r="V20" i="1"/>
  <c r="T23" i="1"/>
  <c r="U23" i="1"/>
  <c r="V23" i="1"/>
  <c r="T26" i="1"/>
  <c r="W26" i="1" s="1"/>
  <c r="U26" i="1"/>
  <c r="X26" i="1" s="1"/>
  <c r="V26" i="1"/>
  <c r="Y26" i="1" s="1"/>
  <c r="T27" i="1"/>
  <c r="U27" i="1"/>
  <c r="V27" i="1"/>
  <c r="Y27" i="1" s="1"/>
  <c r="T29" i="1"/>
  <c r="U29" i="1"/>
  <c r="V29" i="1"/>
  <c r="Y29" i="1" s="1"/>
  <c r="T54" i="1"/>
  <c r="U54" i="1"/>
  <c r="V54" i="1"/>
  <c r="T56" i="1"/>
  <c r="W56" i="1" s="1"/>
  <c r="U56" i="1"/>
  <c r="X56" i="1" s="1"/>
  <c r="V56" i="1"/>
  <c r="T64" i="1"/>
  <c r="W64" i="1" s="1"/>
  <c r="U64" i="1"/>
  <c r="X64" i="1" s="1"/>
  <c r="V64" i="1"/>
  <c r="K29" i="1"/>
  <c r="L29" i="1"/>
  <c r="M29" i="1" s="1"/>
  <c r="K31" i="1"/>
  <c r="L31" i="1"/>
  <c r="M31" i="1" s="1"/>
  <c r="K54" i="1"/>
  <c r="L54" i="1"/>
  <c r="M54" i="1" s="1"/>
  <c r="K56" i="1"/>
  <c r="L56" i="1"/>
  <c r="M56" i="1" s="1"/>
  <c r="K63" i="1"/>
  <c r="L63" i="1"/>
  <c r="M63" i="1" s="1"/>
  <c r="K64" i="1"/>
  <c r="L64" i="1"/>
  <c r="M64" i="1" s="1"/>
  <c r="K13" i="1"/>
  <c r="L13" i="1"/>
  <c r="M13" i="1" s="1"/>
  <c r="K15" i="1"/>
  <c r="L15" i="1"/>
  <c r="M15" i="1" s="1"/>
  <c r="K17" i="1"/>
  <c r="L17" i="1"/>
  <c r="M17" i="1" s="1"/>
  <c r="K19" i="1"/>
  <c r="L19" i="1"/>
  <c r="M19" i="1" s="1"/>
  <c r="K20" i="1"/>
  <c r="L20" i="1"/>
  <c r="M20" i="1" s="1"/>
  <c r="L21" i="1"/>
  <c r="M21" i="1" s="1"/>
  <c r="K22" i="1"/>
  <c r="L22" i="1"/>
  <c r="M22" i="1" s="1"/>
  <c r="L23" i="1"/>
  <c r="M23" i="1" s="1"/>
  <c r="K24" i="1"/>
  <c r="L24" i="1"/>
  <c r="M24" i="1" s="1"/>
  <c r="K25" i="1"/>
  <c r="L25" i="1"/>
  <c r="M25" i="1" s="1"/>
  <c r="K26" i="1"/>
  <c r="L26" i="1"/>
  <c r="M26" i="1" s="1"/>
  <c r="K27" i="1"/>
  <c r="L27" i="1"/>
  <c r="M27" i="1" s="1"/>
  <c r="K28" i="1"/>
  <c r="L28" i="1"/>
  <c r="M28" i="1" s="1"/>
  <c r="M177" i="3" l="1"/>
  <c r="M175" i="3"/>
  <c r="O17" i="1"/>
  <c r="O25" i="1"/>
  <c r="O26" i="1"/>
  <c r="N15" i="1"/>
  <c r="J28" i="3" s="1"/>
  <c r="O27" i="1"/>
  <c r="N63" i="1"/>
  <c r="O22" i="1"/>
  <c r="N17" i="1"/>
  <c r="J34" i="3" s="1"/>
  <c r="O63" i="1"/>
  <c r="N24" i="1"/>
  <c r="J58" i="3" s="1"/>
  <c r="O24" i="1"/>
  <c r="N56" i="1"/>
  <c r="N27" i="1"/>
  <c r="J69" i="3" s="1"/>
  <c r="N19" i="1"/>
  <c r="J43" i="3" s="1"/>
  <c r="O19" i="1"/>
  <c r="Y56" i="1"/>
  <c r="Y20" i="1"/>
  <c r="O56" i="1"/>
  <c r="Y64" i="1"/>
  <c r="N54" i="1"/>
  <c r="J159" i="3" s="1"/>
  <c r="O54" i="1"/>
  <c r="Y13" i="1"/>
  <c r="N20" i="1"/>
  <c r="J47" i="3" s="1"/>
  <c r="O20" i="1"/>
  <c r="N64" i="1"/>
  <c r="J192" i="3" s="1"/>
  <c r="O64" i="1"/>
  <c r="O15" i="1"/>
  <c r="N29" i="1"/>
  <c r="J77" i="3" s="1"/>
  <c r="W29" i="1"/>
  <c r="N22" i="1"/>
  <c r="J52" i="3" s="1"/>
  <c r="N28" i="1"/>
  <c r="J71" i="3" s="1"/>
  <c r="O28" i="1"/>
  <c r="O29" i="1"/>
  <c r="N26" i="1"/>
  <c r="J66" i="3" s="1"/>
  <c r="N25" i="1"/>
  <c r="J63" i="3" s="1"/>
  <c r="X29" i="1"/>
  <c r="X27" i="1"/>
  <c r="W27" i="1"/>
  <c r="W13" i="1"/>
  <c r="N13" i="1"/>
  <c r="J24" i="3" s="1"/>
  <c r="O13" i="1"/>
  <c r="N31" i="1"/>
  <c r="O31" i="1"/>
  <c r="AK24" i="1"/>
  <c r="AJ23" i="1"/>
  <c r="AJ28" i="1"/>
  <c r="AK56" i="1"/>
  <c r="AE17" i="1"/>
  <c r="AE15" i="1"/>
  <c r="AE19" i="1"/>
  <c r="AE25" i="1"/>
  <c r="AD17" i="1"/>
  <c r="AD15" i="1"/>
  <c r="AC13" i="1"/>
  <c r="AD25" i="1"/>
  <c r="AD24" i="1"/>
  <c r="AI22" i="1"/>
  <c r="AC15" i="1"/>
  <c r="AC25" i="1"/>
  <c r="AC24" i="1"/>
  <c r="J83" i="3" l="1"/>
  <c r="J163" i="3"/>
  <c r="J165" i="3"/>
  <c r="J161" i="3"/>
  <c r="J164" i="3"/>
  <c r="Y54" i="1"/>
  <c r="J158" i="3"/>
  <c r="J157" i="3"/>
  <c r="J191" i="3"/>
  <c r="J190" i="3"/>
  <c r="J187" i="3"/>
  <c r="J188" i="3"/>
  <c r="J186" i="3"/>
  <c r="J189" i="3"/>
  <c r="J182" i="3"/>
  <c r="J179" i="3"/>
  <c r="J180" i="3"/>
  <c r="J178" i="3"/>
  <c r="J30" i="3"/>
  <c r="J29" i="3"/>
  <c r="J44" i="3"/>
  <c r="J45" i="3"/>
  <c r="J35" i="3"/>
  <c r="J36" i="3"/>
  <c r="J78" i="3"/>
  <c r="J76" i="3"/>
  <c r="J60" i="3"/>
  <c r="J59" i="3"/>
  <c r="J64" i="3"/>
  <c r="J65" i="3"/>
  <c r="J72" i="3"/>
  <c r="J70" i="3"/>
  <c r="J181" i="3"/>
  <c r="J183" i="3"/>
  <c r="J22" i="3"/>
  <c r="J23" i="3"/>
  <c r="J54" i="3"/>
  <c r="J53" i="3"/>
  <c r="J185" i="3"/>
  <c r="J184" i="3"/>
  <c r="J160" i="3"/>
  <c r="J162" i="3"/>
  <c r="J67" i="3"/>
  <c r="J68" i="3"/>
  <c r="W54" i="1"/>
  <c r="X54" i="1"/>
  <c r="J84" i="3"/>
  <c r="J82" i="3"/>
  <c r="J62" i="3"/>
  <c r="J61" i="3"/>
  <c r="J46" i="3"/>
  <c r="J48" i="3"/>
  <c r="E29" i="1"/>
  <c r="F29" i="1"/>
  <c r="G29" i="1"/>
  <c r="E64" i="1"/>
  <c r="F64" i="1"/>
  <c r="G64" i="1"/>
  <c r="AF64" i="1" l="1"/>
  <c r="AG64" i="1"/>
  <c r="AH64" i="1"/>
  <c r="AK64" i="1" s="1"/>
  <c r="AT64" i="1" s="1"/>
  <c r="M192" i="3" s="1"/>
  <c r="AH29" i="1"/>
  <c r="AB29" i="1"/>
  <c r="AE29" i="1" s="1"/>
  <c r="AF29" i="1"/>
  <c r="AI29" i="1" s="1"/>
  <c r="Z29" i="1"/>
  <c r="AC29" i="1" s="1"/>
  <c r="AG29" i="1"/>
  <c r="AJ29" i="1" s="1"/>
  <c r="AA29" i="1"/>
  <c r="AD29" i="1" s="1"/>
  <c r="AI64" i="1"/>
  <c r="AR64" i="1" s="1"/>
  <c r="M190" i="3" s="1"/>
  <c r="AL64" i="1"/>
  <c r="L184" i="3" s="1"/>
  <c r="AJ64" i="1"/>
  <c r="AS64" i="1" s="1"/>
  <c r="M191" i="3" s="1"/>
  <c r="AM64" i="1"/>
  <c r="L185" i="3" s="1"/>
  <c r="F23" i="2"/>
  <c r="AN64" i="1" l="1"/>
  <c r="L186" i="3" s="1"/>
  <c r="AM29" i="1"/>
  <c r="L77" i="3" s="1"/>
  <c r="AN29" i="1"/>
  <c r="L78" i="3" s="1"/>
  <c r="AS29" i="1"/>
  <c r="M77" i="3" s="1"/>
  <c r="AK29" i="1"/>
  <c r="AT29" i="1" s="1"/>
  <c r="M78" i="3" s="1"/>
  <c r="AR29" i="1"/>
  <c r="M76" i="3" s="1"/>
  <c r="AL29" i="1"/>
  <c r="L76" i="3" s="1"/>
  <c r="L10" i="1"/>
  <c r="E63" i="1" l="1"/>
  <c r="F63" i="1"/>
  <c r="G63" i="1"/>
  <c r="S10" i="1"/>
  <c r="S13" i="1"/>
  <c r="U63" i="1" l="1"/>
  <c r="AA63" i="1"/>
  <c r="AD63" i="1" s="1"/>
  <c r="V63" i="1"/>
  <c r="AB63" i="1"/>
  <c r="AE63" i="1" s="1"/>
  <c r="T63" i="1"/>
  <c r="Z63" i="1"/>
  <c r="AC63" i="1" s="1"/>
  <c r="AM63" i="1"/>
  <c r="L182" i="3" s="1"/>
  <c r="X63" i="1"/>
  <c r="AN63" i="1"/>
  <c r="L183" i="3" s="1"/>
  <c r="Y63" i="1"/>
  <c r="E13" i="1"/>
  <c r="AF13" i="1" s="1"/>
  <c r="F13" i="1"/>
  <c r="AG13" i="1" s="1"/>
  <c r="G13" i="1"/>
  <c r="AH13" i="1" s="1"/>
  <c r="E15" i="1"/>
  <c r="T15" i="1" s="1"/>
  <c r="F15" i="1"/>
  <c r="U15" i="1" s="1"/>
  <c r="G15" i="1"/>
  <c r="V15" i="1" s="1"/>
  <c r="E17" i="1"/>
  <c r="T17" i="1" s="1"/>
  <c r="F17" i="1"/>
  <c r="U17" i="1" s="1"/>
  <c r="G17" i="1"/>
  <c r="V17" i="1" s="1"/>
  <c r="E19" i="1"/>
  <c r="T19" i="1" s="1"/>
  <c r="F19" i="1"/>
  <c r="U19" i="1" s="1"/>
  <c r="G19" i="1"/>
  <c r="V19" i="1" s="1"/>
  <c r="E20" i="1"/>
  <c r="Z20" i="1" s="1"/>
  <c r="F20" i="1"/>
  <c r="AA20" i="1" s="1"/>
  <c r="G20" i="1"/>
  <c r="AB20" i="1" s="1"/>
  <c r="E21" i="1"/>
  <c r="T21" i="1" s="1"/>
  <c r="F21" i="1"/>
  <c r="U21" i="1" s="1"/>
  <c r="G21" i="1"/>
  <c r="V21" i="1" s="1"/>
  <c r="E22" i="1"/>
  <c r="T22" i="1" s="1"/>
  <c r="F22" i="1"/>
  <c r="U22" i="1" s="1"/>
  <c r="G22" i="1"/>
  <c r="V22" i="1" s="1"/>
  <c r="E23" i="1"/>
  <c r="Z23" i="1" s="1"/>
  <c r="F23" i="1"/>
  <c r="AA23" i="1" s="1"/>
  <c r="G23" i="1"/>
  <c r="AB23" i="1" s="1"/>
  <c r="E24" i="1"/>
  <c r="T24" i="1" s="1"/>
  <c r="F24" i="1"/>
  <c r="U24" i="1" s="1"/>
  <c r="G24" i="1"/>
  <c r="V24" i="1" s="1"/>
  <c r="E25" i="1"/>
  <c r="F25" i="1"/>
  <c r="G25" i="1"/>
  <c r="E26" i="1"/>
  <c r="AF26" i="1" s="1"/>
  <c r="F26" i="1"/>
  <c r="AG26" i="1" s="1"/>
  <c r="G26" i="1"/>
  <c r="AH26" i="1" s="1"/>
  <c r="E27" i="1"/>
  <c r="F27" i="1"/>
  <c r="G27" i="1"/>
  <c r="E28" i="1"/>
  <c r="F28" i="1"/>
  <c r="G28" i="1"/>
  <c r="E31" i="1"/>
  <c r="F31" i="1"/>
  <c r="G31" i="1"/>
  <c r="E54" i="1"/>
  <c r="F54" i="1"/>
  <c r="G54" i="1"/>
  <c r="E56" i="1"/>
  <c r="G160" i="3" s="1"/>
  <c r="F56" i="1"/>
  <c r="G161" i="3" s="1"/>
  <c r="G56" i="1"/>
  <c r="G162" i="3" s="1"/>
  <c r="AH27" i="1" l="1"/>
  <c r="AF27" i="1"/>
  <c r="AL63" i="1"/>
  <c r="L181" i="3" s="1"/>
  <c r="AG27" i="1"/>
  <c r="AB31" i="1"/>
  <c r="V31" i="1"/>
  <c r="Y31" i="1" s="1"/>
  <c r="AG25" i="1"/>
  <c r="U25" i="1"/>
  <c r="X25" i="1" s="1"/>
  <c r="AF25" i="1"/>
  <c r="AL25" i="1" s="1"/>
  <c r="L61" i="3" s="1"/>
  <c r="T25" i="1"/>
  <c r="W25" i="1" s="1"/>
  <c r="AH25" i="1"/>
  <c r="V25" i="1"/>
  <c r="Y25" i="1" s="1"/>
  <c r="AA31" i="1"/>
  <c r="U31" i="1"/>
  <c r="X31" i="1" s="1"/>
  <c r="Z31" i="1"/>
  <c r="T31" i="1"/>
  <c r="W31" i="1" s="1"/>
  <c r="AB56" i="1"/>
  <c r="Z56" i="1"/>
  <c r="AL56" i="1" s="1"/>
  <c r="L160" i="3" s="1"/>
  <c r="AA56" i="1"/>
  <c r="AM56" i="1" s="1"/>
  <c r="L161" i="3" s="1"/>
  <c r="AS63" i="1"/>
  <c r="W63" i="1"/>
  <c r="AR63" i="1" s="1"/>
  <c r="AT63" i="1"/>
  <c r="Z54" i="1"/>
  <c r="AF54" i="1"/>
  <c r="AI54" i="1" s="1"/>
  <c r="V28" i="1"/>
  <c r="Y28" i="1" s="1"/>
  <c r="AB28" i="1"/>
  <c r="AE28" i="1" s="1"/>
  <c r="AB54" i="1"/>
  <c r="AH54" i="1"/>
  <c r="AK54" i="1" s="1"/>
  <c r="U28" i="1"/>
  <c r="X28" i="1" s="1"/>
  <c r="AA28" i="1"/>
  <c r="AD28" i="1" s="1"/>
  <c r="AA54" i="1"/>
  <c r="AD54" i="1" s="1"/>
  <c r="AG54" i="1"/>
  <c r="AJ54" i="1" s="1"/>
  <c r="T28" i="1"/>
  <c r="Z28" i="1"/>
  <c r="AC28" i="1" s="1"/>
  <c r="AK25" i="1"/>
  <c r="AN25" i="1"/>
  <c r="L63" i="3" s="1"/>
  <c r="Y15" i="1"/>
  <c r="AT15" i="1" s="1"/>
  <c r="M30" i="3" s="1"/>
  <c r="AN15" i="1"/>
  <c r="L30" i="3" s="1"/>
  <c r="Y22" i="1"/>
  <c r="AT22" i="1" s="1"/>
  <c r="M54" i="3" s="1"/>
  <c r="AN22" i="1"/>
  <c r="L54" i="3" s="1"/>
  <c r="AC31" i="1"/>
  <c r="AI27" i="1"/>
  <c r="AR27" i="1" s="1"/>
  <c r="M67" i="3" s="1"/>
  <c r="AL27" i="1"/>
  <c r="L67" i="3" s="1"/>
  <c r="AL22" i="1"/>
  <c r="L52" i="3" s="1"/>
  <c r="W22" i="1"/>
  <c r="AR22" i="1" s="1"/>
  <c r="M52" i="3" s="1"/>
  <c r="AE56" i="1"/>
  <c r="AT56" i="1" s="1"/>
  <c r="AN56" i="1"/>
  <c r="L162" i="3" s="1"/>
  <c r="AC54" i="1"/>
  <c r="AL54" i="1"/>
  <c r="AK26" i="1"/>
  <c r="AT26" i="1" s="1"/>
  <c r="M66" i="3" s="1"/>
  <c r="AN26" i="1"/>
  <c r="L66" i="3" s="1"/>
  <c r="AM24" i="1"/>
  <c r="L59" i="3" s="1"/>
  <c r="X24" i="1"/>
  <c r="AS24" i="1" s="1"/>
  <c r="M59" i="3" s="1"/>
  <c r="AN21" i="1"/>
  <c r="L51" i="3" s="1"/>
  <c r="AL19" i="1"/>
  <c r="L43" i="3" s="1"/>
  <c r="W19" i="1"/>
  <c r="AR19" i="1" s="1"/>
  <c r="M43" i="3" s="1"/>
  <c r="AL23" i="1"/>
  <c r="AK27" i="1"/>
  <c r="AT27" i="1" s="1"/>
  <c r="M69" i="3" s="1"/>
  <c r="AN27" i="1"/>
  <c r="L69" i="3" s="1"/>
  <c r="AJ25" i="1"/>
  <c r="AM25" i="1"/>
  <c r="L62" i="3" s="1"/>
  <c r="AC20" i="1"/>
  <c r="AR20" i="1" s="1"/>
  <c r="M46" i="3" s="1"/>
  <c r="AL20" i="1"/>
  <c r="L46" i="3" s="1"/>
  <c r="AM31" i="1"/>
  <c r="L83" i="3" s="1"/>
  <c r="AD31" i="1"/>
  <c r="AS31" i="1" s="1"/>
  <c r="M83" i="3" s="1"/>
  <c r="AJ27" i="1"/>
  <c r="AS27" i="1" s="1"/>
  <c r="M68" i="3" s="1"/>
  <c r="AM27" i="1"/>
  <c r="L68" i="3" s="1"/>
  <c r="Y19" i="1"/>
  <c r="AT19" i="1" s="1"/>
  <c r="M45" i="3" s="1"/>
  <c r="AN19" i="1"/>
  <c r="L45" i="3" s="1"/>
  <c r="W15" i="1"/>
  <c r="AR15" i="1" s="1"/>
  <c r="M28" i="3" s="1"/>
  <c r="AL15" i="1"/>
  <c r="L28" i="3" s="1"/>
  <c r="X19" i="1"/>
  <c r="AS19" i="1" s="1"/>
  <c r="M44" i="3" s="1"/>
  <c r="AM19" i="1"/>
  <c r="L44" i="3" s="1"/>
  <c r="AJ26" i="1"/>
  <c r="AS26" i="1" s="1"/>
  <c r="M65" i="3" s="1"/>
  <c r="AM26" i="1"/>
  <c r="L65" i="3" s="1"/>
  <c r="AM21" i="1"/>
  <c r="AN17" i="1"/>
  <c r="L36" i="3" s="1"/>
  <c r="Y17" i="1"/>
  <c r="AT17" i="1" s="1"/>
  <c r="M36" i="3" s="1"/>
  <c r="AI26" i="1"/>
  <c r="AR26" i="1" s="1"/>
  <c r="M64" i="3" s="1"/>
  <c r="AL26" i="1"/>
  <c r="L64" i="3" s="1"/>
  <c r="AN23" i="1"/>
  <c r="AL21" i="1"/>
  <c r="AM17" i="1"/>
  <c r="L35" i="3" s="1"/>
  <c r="X17" i="1"/>
  <c r="AS17" i="1" s="1"/>
  <c r="M35" i="3" s="1"/>
  <c r="AK13" i="1"/>
  <c r="AT13" i="1" s="1"/>
  <c r="M24" i="3" s="1"/>
  <c r="AN13" i="1"/>
  <c r="L24" i="3" s="1"/>
  <c r="AD20" i="1"/>
  <c r="AS20" i="1" s="1"/>
  <c r="M47" i="3" s="1"/>
  <c r="AM20" i="1"/>
  <c r="L47" i="3" s="1"/>
  <c r="AI13" i="1"/>
  <c r="AR13" i="1" s="1"/>
  <c r="M22" i="3" s="1"/>
  <c r="AL13" i="1"/>
  <c r="L22" i="3" s="1"/>
  <c r="AN31" i="1"/>
  <c r="L84" i="3" s="1"/>
  <c r="AE31" i="1"/>
  <c r="AM15" i="1"/>
  <c r="L29" i="3" s="1"/>
  <c r="X15" i="1"/>
  <c r="AS15" i="1" s="1"/>
  <c r="M29" i="3" s="1"/>
  <c r="AE54" i="1"/>
  <c r="AM22" i="1"/>
  <c r="L53" i="3" s="1"/>
  <c r="X22" i="1"/>
  <c r="AS22" i="1" s="1"/>
  <c r="M53" i="3" s="1"/>
  <c r="Y24" i="1"/>
  <c r="AT24" i="1" s="1"/>
  <c r="M60" i="3" s="1"/>
  <c r="AN24" i="1"/>
  <c r="L60" i="3" s="1"/>
  <c r="AL24" i="1"/>
  <c r="L58" i="3" s="1"/>
  <c r="W24" i="1"/>
  <c r="AR24" i="1" s="1"/>
  <c r="M58" i="3" s="1"/>
  <c r="AM23" i="1"/>
  <c r="AE20" i="1"/>
  <c r="AT20" i="1" s="1"/>
  <c r="M48" i="3" s="1"/>
  <c r="AN20" i="1"/>
  <c r="L48" i="3" s="1"/>
  <c r="AL17" i="1"/>
  <c r="L34" i="3" s="1"/>
  <c r="W17" i="1"/>
  <c r="AR17" i="1" s="1"/>
  <c r="M34" i="3" s="1"/>
  <c r="AM13" i="1"/>
  <c r="L23" i="3" s="1"/>
  <c r="AJ13" i="1"/>
  <c r="AS13" i="1" s="1"/>
  <c r="M23" i="3" s="1"/>
  <c r="G10" i="1"/>
  <c r="F10" i="1"/>
  <c r="G14" i="3" s="1"/>
  <c r="E10" i="1"/>
  <c r="G13" i="3" s="1"/>
  <c r="M162" i="3" l="1"/>
  <c r="M165" i="3"/>
  <c r="M186" i="3"/>
  <c r="M189" i="3"/>
  <c r="M184" i="3"/>
  <c r="M187" i="3"/>
  <c r="M185" i="3"/>
  <c r="M188" i="3"/>
  <c r="AT25" i="1"/>
  <c r="M63" i="3" s="1"/>
  <c r="AS25" i="1"/>
  <c r="M62" i="3" s="1"/>
  <c r="M183" i="3"/>
  <c r="M180" i="3"/>
  <c r="M181" i="3"/>
  <c r="M178" i="3"/>
  <c r="AT31" i="1"/>
  <c r="M84" i="3" s="1"/>
  <c r="M182" i="3"/>
  <c r="M179" i="3"/>
  <c r="AC56" i="1"/>
  <c r="AR56" i="1" s="1"/>
  <c r="AI25" i="1"/>
  <c r="AR25" i="1" s="1"/>
  <c r="M61" i="3" s="1"/>
  <c r="AL31" i="1"/>
  <c r="L82" i="3" s="1"/>
  <c r="AL28" i="1"/>
  <c r="L70" i="3" s="1"/>
  <c r="AD56" i="1"/>
  <c r="AS56" i="1" s="1"/>
  <c r="AR31" i="1"/>
  <c r="M82" i="3" s="1"/>
  <c r="AT54" i="1"/>
  <c r="M159" i="3" s="1"/>
  <c r="AN54" i="1"/>
  <c r="AT28" i="1"/>
  <c r="M72" i="3" s="1"/>
  <c r="W28" i="1"/>
  <c r="AR28" i="1" s="1"/>
  <c r="M70" i="3" s="1"/>
  <c r="AN28" i="1"/>
  <c r="L72" i="3" s="1"/>
  <c r="AM28" i="1"/>
  <c r="L71" i="3" s="1"/>
  <c r="AS28" i="1"/>
  <c r="M71" i="3" s="1"/>
  <c r="AR54" i="1"/>
  <c r="M157" i="3" s="1"/>
  <c r="AS54" i="1"/>
  <c r="M158" i="3" s="1"/>
  <c r="AM54" i="1"/>
  <c r="Z10" i="1"/>
  <c r="AG10" i="1"/>
  <c r="K10" i="1"/>
  <c r="M10" i="1"/>
  <c r="T10" i="1"/>
  <c r="U10" i="1"/>
  <c r="V10" i="1"/>
  <c r="AA10" i="1"/>
  <c r="AO10" i="1"/>
  <c r="K13" i="3" s="1"/>
  <c r="AP10" i="1"/>
  <c r="K14" i="3" s="1"/>
  <c r="AQ10" i="1"/>
  <c r="K15" i="3" s="1"/>
  <c r="M161" i="3" l="1"/>
  <c r="M164" i="3"/>
  <c r="M160" i="3"/>
  <c r="M163" i="3"/>
  <c r="AF10" i="1"/>
  <c r="AL10" i="1" s="1"/>
  <c r="L13" i="3" s="1"/>
  <c r="AM10" i="1"/>
  <c r="L14" i="3" s="1"/>
  <c r="N10" i="1"/>
  <c r="O10" i="1"/>
  <c r="AD10" i="1" l="1"/>
  <c r="J13" i="3"/>
  <c r="Y10" i="1"/>
  <c r="J15" i="3"/>
  <c r="J14" i="3"/>
  <c r="X10" i="1"/>
  <c r="W10" i="1"/>
  <c r="AI10" i="1"/>
  <c r="AC10" i="1"/>
  <c r="AJ10" i="1"/>
  <c r="AB10" i="1"/>
  <c r="AE10" i="1" s="1"/>
  <c r="AH10" i="1"/>
  <c r="AK10" i="1" s="1"/>
  <c r="AS10" i="1" l="1"/>
  <c r="M14" i="3" s="1"/>
  <c r="AR10" i="1"/>
  <c r="M13" i="3" s="1"/>
  <c r="AT10" i="1"/>
  <c r="M15" i="3" s="1"/>
  <c r="AN10" i="1"/>
  <c r="L15" i="3" s="1"/>
  <c r="G14" i="2"/>
  <c r="I19" i="3" l="1"/>
  <c r="I22" i="3"/>
  <c r="I25" i="3"/>
  <c r="I28" i="3" l="1"/>
  <c r="F25" i="2" l="1"/>
  <c r="K57" i="1" s="1"/>
  <c r="O57" i="1" l="1"/>
  <c r="J168" i="3" s="1"/>
  <c r="N57" i="1"/>
  <c r="AD57" i="1" s="1"/>
  <c r="AS57" i="1" s="1"/>
  <c r="K21" i="1"/>
  <c r="K23" i="1"/>
  <c r="C10" i="3"/>
  <c r="AE57" i="1" l="1"/>
  <c r="AT57" i="1" s="1"/>
  <c r="AC57" i="1"/>
  <c r="AR57" i="1" s="1"/>
  <c r="N23" i="1"/>
  <c r="W23" i="1" s="1"/>
  <c r="O23" i="1"/>
  <c r="N21" i="1"/>
  <c r="W21" i="1" s="1"/>
  <c r="AR21" i="1" s="1"/>
  <c r="O21" i="1"/>
  <c r="I11" i="3"/>
  <c r="D10" i="3"/>
  <c r="H10" i="3"/>
  <c r="I10" i="3"/>
  <c r="I12" i="3"/>
  <c r="K10" i="3"/>
  <c r="K11" i="3"/>
  <c r="K12" i="3"/>
  <c r="M168" i="3" l="1"/>
  <c r="Y23" i="1"/>
  <c r="X23" i="1"/>
  <c r="J57" i="3"/>
  <c r="J51" i="3"/>
  <c r="AD23" i="1"/>
  <c r="AS23" i="1" s="1"/>
  <c r="Y21" i="1"/>
  <c r="AT21" i="1" s="1"/>
  <c r="M51" i="3" s="1"/>
  <c r="X21" i="1"/>
  <c r="AS21" i="1" s="1"/>
  <c r="AE23" i="1"/>
  <c r="AC23" i="1"/>
  <c r="AR23" i="1" s="1"/>
  <c r="AT23" i="1" l="1"/>
  <c r="M57" i="3" s="1"/>
  <c r="D4" i="3"/>
  <c r="D5" i="3"/>
  <c r="D6" i="3"/>
  <c r="D3" i="3"/>
  <c r="I13" i="3"/>
  <c r="F198" i="3" l="1"/>
  <c r="F201" i="3"/>
  <c r="F197" i="3"/>
  <c r="F200" i="3"/>
  <c r="F196" i="3"/>
  <c r="F199" i="3"/>
  <c r="F68" i="3"/>
  <c r="F170" i="3"/>
  <c r="F194" i="3"/>
  <c r="F164" i="3"/>
  <c r="F69" i="3"/>
  <c r="F171" i="3"/>
  <c r="F195" i="3"/>
  <c r="F165" i="3"/>
  <c r="F67" i="3"/>
  <c r="F169" i="3"/>
  <c r="F193" i="3"/>
  <c r="F163" i="3"/>
  <c r="F16" i="3"/>
  <c r="F184" i="3"/>
  <c r="F181" i="3"/>
  <c r="F190" i="3"/>
  <c r="F178" i="3"/>
  <c r="F187" i="3"/>
  <c r="F175" i="3"/>
  <c r="F18" i="3"/>
  <c r="F183" i="3"/>
  <c r="F192" i="3"/>
  <c r="F180" i="3"/>
  <c r="F186" i="3"/>
  <c r="F189" i="3"/>
  <c r="F177" i="3"/>
  <c r="F17" i="3"/>
  <c r="F185" i="3"/>
  <c r="F182" i="3"/>
  <c r="F191" i="3"/>
  <c r="F179" i="3"/>
  <c r="F188" i="3"/>
  <c r="F176" i="3"/>
  <c r="F167" i="3"/>
  <c r="F168" i="3"/>
  <c r="F166" i="3"/>
  <c r="F132" i="3"/>
  <c r="F130" i="3"/>
  <c r="F131" i="3"/>
  <c r="F161" i="3"/>
  <c r="F38" i="3"/>
  <c r="F44" i="3"/>
  <c r="F53" i="3"/>
  <c r="F47" i="3"/>
  <c r="F50" i="3"/>
  <c r="F56" i="3"/>
  <c r="F59" i="3"/>
  <c r="F162" i="3"/>
  <c r="F45" i="3"/>
  <c r="F51" i="3"/>
  <c r="F57" i="3"/>
  <c r="F39" i="3"/>
  <c r="F48" i="3"/>
  <c r="F54" i="3"/>
  <c r="F60" i="3"/>
  <c r="F160" i="3"/>
  <c r="F37" i="3"/>
  <c r="F43" i="3"/>
  <c r="F52" i="3"/>
  <c r="F46" i="3"/>
  <c r="F49" i="3"/>
  <c r="F55" i="3"/>
  <c r="F58" i="3"/>
  <c r="F155" i="3"/>
  <c r="F158" i="3"/>
  <c r="F159" i="3"/>
  <c r="F156" i="3"/>
  <c r="F157" i="3"/>
  <c r="F154" i="3"/>
  <c r="F150" i="3"/>
  <c r="F153" i="3"/>
  <c r="F111" i="3"/>
  <c r="F117" i="3"/>
  <c r="F123" i="3"/>
  <c r="F129" i="3"/>
  <c r="F135" i="3"/>
  <c r="F138" i="3"/>
  <c r="F144" i="3"/>
  <c r="F147" i="3"/>
  <c r="F114" i="3"/>
  <c r="F120" i="3"/>
  <c r="F126" i="3"/>
  <c r="F145" i="3"/>
  <c r="F151" i="3"/>
  <c r="F109" i="3"/>
  <c r="F115" i="3"/>
  <c r="F121" i="3"/>
  <c r="F127" i="3"/>
  <c r="F133" i="3"/>
  <c r="F136" i="3"/>
  <c r="F142" i="3"/>
  <c r="F148" i="3"/>
  <c r="F112" i="3"/>
  <c r="F118" i="3"/>
  <c r="F124" i="3"/>
  <c r="F146" i="3"/>
  <c r="F152" i="3"/>
  <c r="F113" i="3"/>
  <c r="F119" i="3"/>
  <c r="F125" i="3"/>
  <c r="F137" i="3"/>
  <c r="F143" i="3"/>
  <c r="F149" i="3"/>
  <c r="F110" i="3"/>
  <c r="F116" i="3"/>
  <c r="F122" i="3"/>
  <c r="F128" i="3"/>
  <c r="F134" i="3"/>
  <c r="F24" i="3"/>
  <c r="F30" i="3"/>
  <c r="F36" i="3"/>
  <c r="F66" i="3"/>
  <c r="F78" i="3"/>
  <c r="F84" i="3"/>
  <c r="F90" i="3"/>
  <c r="F96" i="3"/>
  <c r="F102" i="3"/>
  <c r="F15" i="3"/>
  <c r="F12" i="3"/>
  <c r="F27" i="3"/>
  <c r="F33" i="3"/>
  <c r="F63" i="3"/>
  <c r="F72" i="3"/>
  <c r="F81" i="3"/>
  <c r="F87" i="3"/>
  <c r="F93" i="3"/>
  <c r="F99" i="3"/>
  <c r="F105" i="3"/>
  <c r="F21" i="3"/>
  <c r="F22" i="3"/>
  <c r="F28" i="3"/>
  <c r="F34" i="3"/>
  <c r="F64" i="3"/>
  <c r="F76" i="3"/>
  <c r="F82" i="3"/>
  <c r="F88" i="3"/>
  <c r="F94" i="3"/>
  <c r="F100" i="3"/>
  <c r="F13" i="3"/>
  <c r="F10" i="3"/>
  <c r="F25" i="3"/>
  <c r="F31" i="3"/>
  <c r="F61" i="3"/>
  <c r="F70" i="3"/>
  <c r="F79" i="3"/>
  <c r="F85" i="3"/>
  <c r="F91" i="3"/>
  <c r="F97" i="3"/>
  <c r="F103" i="3"/>
  <c r="F19" i="3"/>
  <c r="F26" i="3"/>
  <c r="F32" i="3"/>
  <c r="F62" i="3"/>
  <c r="F71" i="3"/>
  <c r="F80" i="3"/>
  <c r="F86" i="3"/>
  <c r="F92" i="3"/>
  <c r="F98" i="3"/>
  <c r="F104" i="3"/>
  <c r="F20" i="3"/>
  <c r="F23" i="3"/>
  <c r="F29" i="3"/>
  <c r="F35" i="3"/>
  <c r="F65" i="3"/>
  <c r="F77" i="3"/>
  <c r="F83" i="3"/>
  <c r="F89" i="3"/>
  <c r="F95" i="3"/>
  <c r="F101" i="3"/>
  <c r="F14" i="3"/>
  <c r="F11" i="3"/>
  <c r="G10" i="2"/>
  <c r="G11" i="2"/>
  <c r="G12" i="2"/>
  <c r="G13" i="2"/>
  <c r="G15" i="2"/>
  <c r="G16" i="2"/>
  <c r="G17" i="2"/>
  <c r="G18" i="2"/>
  <c r="G19" i="2"/>
  <c r="G20" i="2"/>
  <c r="G21" i="2"/>
  <c r="G22" i="2"/>
  <c r="G3" i="2"/>
  <c r="G4" i="2"/>
  <c r="G5" i="2"/>
  <c r="G6" i="2"/>
  <c r="G9" i="2"/>
  <c r="G8" i="2"/>
  <c r="G7" i="2"/>
  <c r="J11" i="3" l="1"/>
  <c r="J12" i="3"/>
  <c r="J10" i="3"/>
  <c r="G12" i="3"/>
  <c r="G11" i="3"/>
  <c r="G10" i="3"/>
  <c r="L12" i="3" l="1"/>
  <c r="M10" i="3"/>
  <c r="L57" i="3"/>
  <c r="L10" i="3"/>
  <c r="M11" i="3" l="1"/>
  <c r="M12" i="3"/>
  <c r="L11" i="3"/>
</calcChain>
</file>

<file path=xl/sharedStrings.xml><?xml version="1.0" encoding="utf-8"?>
<sst xmlns="http://schemas.openxmlformats.org/spreadsheetml/2006/main" count="540" uniqueCount="173">
  <si>
    <t>No.</t>
  </si>
  <si>
    <t>Item</t>
  </si>
  <si>
    <t>Lateral</t>
  </si>
  <si>
    <t>Fasterner Type</t>
  </si>
  <si>
    <t>Property Class</t>
  </si>
  <si>
    <t>Size</t>
  </si>
  <si>
    <t>Longitudinal (N)</t>
  </si>
  <si>
    <t>Vertical (N)</t>
  </si>
  <si>
    <t>Lateral (N)</t>
  </si>
  <si>
    <t>Lateral (pc)</t>
  </si>
  <si>
    <t>Vert. Shear(N)</t>
  </si>
  <si>
    <t>Lateral Shear (N)</t>
  </si>
  <si>
    <t>Long. Shear (N)</t>
  </si>
  <si>
    <t>Vert. Tensile (N)</t>
  </si>
  <si>
    <t>Long. Tensile (N)</t>
  </si>
  <si>
    <t>M14</t>
  </si>
  <si>
    <t>Long. (pc)</t>
  </si>
  <si>
    <t>Vert. (pc)</t>
  </si>
  <si>
    <t>Fastener Installation Qty</t>
  </si>
  <si>
    <t>Long.</t>
  </si>
  <si>
    <t>Vert.</t>
  </si>
  <si>
    <t>Vert. Shear (N)</t>
  </si>
  <si>
    <t>Lateral Tensile (N)</t>
  </si>
  <si>
    <t>X-Section Area</t>
  </si>
  <si>
    <t>Gravity Constant</t>
  </si>
  <si>
    <t>Longitudinal Design Force</t>
  </si>
  <si>
    <t>G</t>
  </si>
  <si>
    <t>m/s^2</t>
  </si>
  <si>
    <t>Vertical Design Force</t>
  </si>
  <si>
    <t>Lateral Design Force</t>
  </si>
  <si>
    <t>M10</t>
  </si>
  <si>
    <t>Tensile Yield Strength (MPa)</t>
  </si>
  <si>
    <t>Shear Yield Strength (MPa)</t>
  </si>
  <si>
    <t>Tensile Yield Force (N)</t>
  </si>
  <si>
    <t>Shear Yield Force (N)</t>
  </si>
  <si>
    <t>Bolt Size</t>
  </si>
  <si>
    <t>M4</t>
  </si>
  <si>
    <t>M6</t>
  </si>
  <si>
    <t>M8</t>
  </si>
  <si>
    <t>M12</t>
  </si>
  <si>
    <t>M16</t>
  </si>
  <si>
    <t>M1.6</t>
  </si>
  <si>
    <t>M2</t>
  </si>
  <si>
    <t>M2.5</t>
  </si>
  <si>
    <t>M3</t>
  </si>
  <si>
    <t>M3.5</t>
  </si>
  <si>
    <t>M5</t>
  </si>
  <si>
    <t>M20</t>
  </si>
  <si>
    <t>M22*</t>
  </si>
  <si>
    <t>M24</t>
  </si>
  <si>
    <t>M27*</t>
  </si>
  <si>
    <t>M30</t>
  </si>
  <si>
    <t>M33</t>
  </si>
  <si>
    <t>M36</t>
  </si>
  <si>
    <t>Vertical Fasteners Experienced Force (Individual)</t>
  </si>
  <si>
    <t>Longitudinal Fasteners Experienced Force (Individual)</t>
  </si>
  <si>
    <t>Lateral Fasteners Experienced Force (Individual)</t>
  </si>
  <si>
    <t>Longitudinal Fasteners Safety Factor (Idvl)</t>
  </si>
  <si>
    <t>Vertical Fasteners Safety Factor (Idvl)</t>
  </si>
  <si>
    <t>Lateral Fasteners Safety Factor (Idvl)</t>
  </si>
  <si>
    <t>Total (pc)</t>
  </si>
  <si>
    <t>Fasteners Experienced Force (Individual)</t>
  </si>
  <si>
    <t>Fasteners Safety Factor (Idvl)</t>
  </si>
  <si>
    <t>Long. (N)</t>
  </si>
  <si>
    <t>Vert. (N)</t>
  </si>
  <si>
    <t>Force Type</t>
  </si>
  <si>
    <t>Yield Force (N)</t>
  </si>
  <si>
    <t>Directly Fastened By</t>
  </si>
  <si>
    <t>Fastener Type/Size</t>
  </si>
  <si>
    <t>Ultimate Limit Load (N)</t>
  </si>
  <si>
    <t>Fastener Qty (pc)</t>
  </si>
  <si>
    <t>Fastener Experienced Force (N)</t>
  </si>
  <si>
    <t xml:space="preserve">Fastener Safety Factor </t>
  </si>
  <si>
    <t>Longitudinal</t>
  </si>
  <si>
    <t>Vertical</t>
  </si>
  <si>
    <t>Load Direction</t>
  </si>
  <si>
    <t>Design Force (G)</t>
  </si>
  <si>
    <t>Fastener Experienced Force Type</t>
  </si>
  <si>
    <t>Design Limit Load (N)</t>
  </si>
  <si>
    <t>Minor Diameter Area (mm^2)</t>
  </si>
  <si>
    <t>Minor Diameter (mm)</t>
  </si>
  <si>
    <t>Tie Down Provision Working Sheet (password: tiedown)</t>
  </si>
  <si>
    <t>A2-70</t>
  </si>
  <si>
    <t>9.74mm</t>
  </si>
  <si>
    <t>Allowable Yield Stress (MPa)</t>
  </si>
  <si>
    <t xml:space="preserve"> </t>
  </si>
  <si>
    <t>DRing</t>
  </si>
  <si>
    <t>Note: For non-bolt down (eg, Lashing &amp; Dring) are in Newton</t>
  </si>
  <si>
    <t>Loading Factor (G)</t>
  </si>
  <si>
    <t>Type of Fastener</t>
  </si>
  <si>
    <t xml:space="preserve"> Qty Used Per Axis</t>
  </si>
  <si>
    <t>Force (N)</t>
  </si>
  <si>
    <t>Individual Force (N)</t>
  </si>
  <si>
    <t xml:space="preserve">Safety Factor </t>
  </si>
  <si>
    <t>Individual Weight (kg)</t>
  </si>
  <si>
    <t>IndividualWeight (kg)</t>
  </si>
  <si>
    <t>Strap (Net)</t>
  </si>
  <si>
    <t>M2 Tie-Down Provision Summary</t>
  </si>
  <si>
    <t>Allan</t>
  </si>
  <si>
    <t>X</t>
  </si>
  <si>
    <t>Z</t>
  </si>
  <si>
    <t>Y</t>
  </si>
  <si>
    <t>Ratchet (1")</t>
  </si>
  <si>
    <t>Ratchet (1.5")</t>
  </si>
  <si>
    <t>Camlock Strap (1")</t>
  </si>
  <si>
    <t>Camlock Strap (1.5")</t>
  </si>
  <si>
    <t>Matrix 2 MCD(S) Tie-down Transportation Mode</t>
  </si>
  <si>
    <t>Locking Pin</t>
  </si>
  <si>
    <t>Spring Latch</t>
  </si>
  <si>
    <t>Shear</t>
  </si>
  <si>
    <t>Tensile</t>
  </si>
  <si>
    <t>Air-Con (IDU 1, 2) fastened to front wall</t>
  </si>
  <si>
    <t>Foldable Table fastened to right side wall</t>
  </si>
  <si>
    <t>Foldable Chairs (3x) strap to the rear wall</t>
  </si>
  <si>
    <t>DCC Touch Panel fastened to the rear wall</t>
  </si>
  <si>
    <t>Rear Door Ladder latched in the Rear Door Ladder Storage</t>
  </si>
  <si>
    <t>Roof Safety Lifeline fastened to the Roof</t>
  </si>
  <si>
    <t>Signal Entry Panel fastened to the left wall</t>
  </si>
  <si>
    <t>Air-Con (IDU 3) fastened to right wall</t>
  </si>
  <si>
    <t>First Aid Kit strap to the rear wall</t>
  </si>
  <si>
    <t>Generator fastened to the base structure at Outdoor Facilities</t>
  </si>
  <si>
    <t>Rear  Roof Access Ladder fastened to rear wall</t>
  </si>
  <si>
    <t>Air-Con (ODU 1, 2, 3) fastened to the top frame of the utility rack and the floor of the EM mast working platform</t>
  </si>
  <si>
    <t>RF Drum (1, 2) strap to floor at the Operation Area</t>
  </si>
  <si>
    <t>Rifle Clip (1,2,3) fastened to left wall</t>
  </si>
  <si>
    <t>0</t>
  </si>
  <si>
    <t>Ventilation Fan fastened to left wall</t>
  </si>
  <si>
    <t>Lightings (4x) fastened to Ceiling</t>
  </si>
  <si>
    <t>EM Mast Main Controller fastened to front wall</t>
  </si>
  <si>
    <t>EM Mast Handheld Remote Control fastened to front wall</t>
  </si>
  <si>
    <t>Power Cable Bag &amp; Grounding Kit</t>
  </si>
  <si>
    <t>LTE Antenna Small (1,2,3) fastened on top of the EM mast</t>
  </si>
  <si>
    <t>LTE Antenna Big (1,2,3) fastened on top of the EM mast</t>
  </si>
  <si>
    <t>FRAA (1,2,3) fastened to front wall</t>
  </si>
  <si>
    <t>AHCF (1,2) fastened to front wall</t>
  </si>
  <si>
    <t>AHCF Filter (1,2,3) fastened to front wall</t>
  </si>
  <si>
    <t>LTE Cable Drum fastened to the floor at EM Mast Compartment</t>
  </si>
  <si>
    <t>GPS fastened to the front wall at EM Mast Compartment</t>
  </si>
  <si>
    <t>Safety Harness with Bag strap to the rear wall</t>
  </si>
  <si>
    <t>Mast Guying Kit &amp; Tilt Rotator Kit strap to the floor at Operation Area</t>
  </si>
  <si>
    <t>CO Detector fastenered to the rear wall</t>
  </si>
  <si>
    <t>EM Mast w/fixed payload (LTE Antennas &amp; Mounting) fastened to the base structure at EM mast compartment</t>
  </si>
  <si>
    <t>LTE Antenna Mounting w/ LTE Antennas fastened on top of the EM mast</t>
  </si>
  <si>
    <t>Camouflage Net w/ Bamboo sticks strap to the EM mast working platform</t>
  </si>
  <si>
    <t>1/4-20</t>
  </si>
  <si>
    <t>Antenna Entry Panel fastened to the front wall</t>
  </si>
  <si>
    <t>Power Entry Panel fastened to utility rack at the kerbside</t>
  </si>
  <si>
    <t>Refuelling Remote Panel fastened to the Utility rack at Outdoor Facilities Area</t>
  </si>
  <si>
    <t>Manual Pump fastened to the Utility rack at Outdoor Facilities Area</t>
  </si>
  <si>
    <t>Diesel Jerry Cans (8x) spring latched to the Utility rack that fastened to the floor at the Outdoor Facilities Area</t>
  </si>
  <si>
    <t>Water Jerry Cans (3x) strap to its storage that fastened to the floor in the Operation Area</t>
  </si>
  <si>
    <t>IP Phone (1, 2) fastened to the right wall on top of Foldable Table in Operation Area</t>
  </si>
  <si>
    <t>IP Phone (3) fastened to the top of equipment rack in Operation Area</t>
  </si>
  <si>
    <t>Fire Extinguisher fastened to the rear wall</t>
  </si>
  <si>
    <t>EM Mast Capacity Bank fastened to front wall</t>
  </si>
  <si>
    <t>Front Protective Guard fastened to the top beam at Outdoor Facilities Area</t>
  </si>
  <si>
    <t>Left Protective Guard fastened to the top beam at Outdoor Facilities Area</t>
  </si>
  <si>
    <t>Right Protective Guard fastened to the top beam at Outdoor Facilities Area</t>
  </si>
  <si>
    <t>Lower Guard Front (1, 2) fastened to the front beams at Outdoor Facilities Area</t>
  </si>
  <si>
    <t>Lower Guard Left (1, 2) &amp; Lower Guard Right fastened to the side beams at Outdoor Facilities Area</t>
  </si>
  <si>
    <t>ODU Guard (1, 2) fastened to the left side beams at Outdoor Facilities Area</t>
  </si>
  <si>
    <t xml:space="preserve">Rear Door Ladder Storage w/ platform fastened to the rear bottom beam </t>
  </si>
  <si>
    <t xml:space="preserve">Outdoor Facilities Ladder Storage fastened to the front bottom beam at Outdoor Facilities Area </t>
  </si>
  <si>
    <t>4 Gang Racks with Mounting Plate and Shock Mount fastened to the floor at Equipment Room</t>
  </si>
  <si>
    <t>LOS Antenna (1 ) fastened to the left wall</t>
  </si>
  <si>
    <t>LOS Antenna (2) fastened to the 4 Gang Racks in the operation area</t>
  </si>
  <si>
    <t>camlock Strap (1.5")</t>
  </si>
  <si>
    <t>15m Pneumatic Mast (Left, Right) fastened to the base structure at LOS Mast Compartment</t>
  </si>
  <si>
    <t>Mast Compressor (left, Right) fastened to the base structure at LOS Mast Compartment</t>
  </si>
  <si>
    <t>RF Panel (Left, Right) fastened to rear wall</t>
  </si>
  <si>
    <t>RF Cable Drum Platform (Left, Right) fastened to side beams at LOS Mast Compartment</t>
  </si>
  <si>
    <t>EM Mast Working Platform Ladder secured by spring lock below the generator at Outdoor Facilities</t>
  </si>
  <si>
    <t>Outdoor Facilities Ladder latched in the Outdoor Facilities Ladder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</si>
</sst>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indexed="64"/>
      </right>
      <top style="thin">
        <color theme="0"/>
      </top>
      <bottom style="thin">
        <color theme="0"/>
      </bottom>
      <diagonal/>
    </border>
    <border>
      <left style="thick">
        <color auto="1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ck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theme="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ck">
        <color indexed="64"/>
      </top>
      <bottom style="thin">
        <color theme="0"/>
      </bottom>
      <diagonal/>
    </border>
    <border>
      <left/>
      <right/>
      <top style="thick">
        <color indexed="64"/>
      </top>
      <bottom style="thin">
        <color theme="0"/>
      </bottom>
      <diagonal/>
    </border>
    <border>
      <left/>
      <right style="thick">
        <color indexed="64"/>
      </right>
      <top style="thick">
        <color indexed="64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auto="1"/>
      </left>
      <right/>
      <top style="thick">
        <color indexed="64"/>
      </top>
      <bottom style="thin">
        <color theme="0"/>
      </bottom>
      <diagonal/>
    </border>
    <border>
      <left/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4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7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2" fontId="0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5" fillId="0" borderId="30" xfId="0" applyFont="1" applyBorder="1" applyAlignment="1" applyProtection="1">
      <alignment horizontal="center" vertical="center"/>
      <protection locked="0"/>
    </xf>
    <xf numFmtId="0" fontId="0" fillId="0" borderId="20" xfId="0" applyFill="1" applyBorder="1" applyAlignment="1" applyProtection="1">
      <alignment horizontal="center" vertical="center"/>
    </xf>
    <xf numFmtId="0" fontId="0" fillId="0" borderId="25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ont="1" applyFill="1" applyAlignment="1" applyProtection="1">
      <alignment horizontal="center" vertical="center" wrapText="1"/>
    </xf>
    <xf numFmtId="0" fontId="4" fillId="16" borderId="9" xfId="0" applyFont="1" applyFill="1" applyBorder="1" applyAlignment="1" applyProtection="1">
      <alignment horizontal="center" vertical="center" wrapText="1"/>
    </xf>
    <xf numFmtId="0" fontId="4" fillId="16" borderId="10" xfId="0" applyFont="1" applyFill="1" applyBorder="1" applyAlignment="1" applyProtection="1">
      <alignment horizontal="center" vertical="center" wrapText="1"/>
    </xf>
    <xf numFmtId="0" fontId="0" fillId="9" borderId="14" xfId="0" applyFont="1" applyFill="1" applyBorder="1" applyAlignment="1" applyProtection="1">
      <alignment horizontal="center" vertical="center" wrapText="1"/>
    </xf>
    <xf numFmtId="2" fontId="0" fillId="9" borderId="14" xfId="0" applyNumberFormat="1" applyFill="1" applyBorder="1" applyAlignment="1" applyProtection="1">
      <alignment horizontal="center" vertical="center"/>
    </xf>
    <xf numFmtId="0" fontId="0" fillId="9" borderId="1" xfId="0" applyFont="1" applyFill="1" applyBorder="1" applyAlignment="1" applyProtection="1">
      <alignment horizontal="center" vertical="center" wrapText="1"/>
    </xf>
    <xf numFmtId="2" fontId="0" fillId="9" borderId="1" xfId="0" applyNumberFormat="1" applyFill="1" applyBorder="1" applyAlignment="1" applyProtection="1">
      <alignment horizontal="center" vertical="center"/>
    </xf>
    <xf numFmtId="0" fontId="0" fillId="0" borderId="14" xfId="0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0" fillId="0" borderId="0" xfId="0" applyFill="1" applyAlignment="1" applyProtection="1">
      <alignment horizontal="center" vertical="center"/>
    </xf>
    <xf numFmtId="0" fontId="0" fillId="9" borderId="14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 wrapText="1"/>
    </xf>
    <xf numFmtId="2" fontId="0" fillId="0" borderId="0" xfId="0" applyNumberForma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1" applyFont="1" applyFill="1" applyBorder="1" applyAlignment="1" applyProtection="1">
      <alignment vertical="top" wrapText="1"/>
      <protection locked="0"/>
    </xf>
    <xf numFmtId="0" fontId="0" fillId="0" borderId="1" xfId="0" applyFont="1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9" borderId="1" xfId="0" applyFont="1" applyFill="1" applyBorder="1" applyAlignment="1" applyProtection="1">
      <alignment horizontal="center"/>
      <protection locked="0"/>
    </xf>
    <xf numFmtId="3" fontId="2" fillId="0" borderId="1" xfId="1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9" borderId="1" xfId="0" applyFont="1" applyFill="1" applyBorder="1" applyAlignment="1" applyProtection="1">
      <alignment horizontal="center" vertical="center"/>
      <protection locked="0"/>
    </xf>
    <xf numFmtId="0" fontId="0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13" borderId="1" xfId="0" applyNumberFormat="1" applyFont="1" applyFill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1" fontId="0" fillId="8" borderId="1" xfId="0" applyNumberFormat="1" applyFont="1" applyFill="1" applyBorder="1" applyAlignment="1">
      <alignment horizontal="center"/>
    </xf>
    <xf numFmtId="1" fontId="0" fillId="10" borderId="1" xfId="0" applyNumberFormat="1" applyFont="1" applyFill="1" applyBorder="1" applyAlignment="1">
      <alignment horizontal="center"/>
    </xf>
    <xf numFmtId="1" fontId="0" fillId="4" borderId="1" xfId="0" applyNumberFormat="1" applyFon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1" fontId="0" fillId="6" borderId="1" xfId="0" applyNumberFormat="1" applyFont="1" applyFill="1" applyBorder="1" applyAlignment="1">
      <alignment horizontal="center"/>
    </xf>
    <xf numFmtId="164" fontId="0" fillId="11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64" fontId="0" fillId="0" borderId="1" xfId="0" applyNumberFormat="1" applyFill="1" applyBorder="1" applyAlignment="1" applyProtection="1">
      <alignment horizontal="center" vertical="center"/>
    </xf>
    <xf numFmtId="164" fontId="0" fillId="9" borderId="1" xfId="0" applyNumberFormat="1" applyFill="1" applyBorder="1" applyAlignment="1" applyProtection="1">
      <alignment horizontal="center" vertical="center"/>
    </xf>
    <xf numFmtId="1" fontId="0" fillId="0" borderId="1" xfId="0" applyNumberFormat="1" applyFill="1" applyBorder="1" applyAlignment="1" applyProtection="1">
      <alignment horizontal="center" vertical="center"/>
    </xf>
    <xf numFmtId="1" fontId="0" fillId="9" borderId="1" xfId="0" applyNumberFormat="1" applyFill="1" applyBorder="1" applyAlignment="1" applyProtection="1">
      <alignment horizontal="center" vertical="center"/>
    </xf>
    <xf numFmtId="0" fontId="0" fillId="0" borderId="1" xfId="0" applyFont="1" applyBorder="1"/>
    <xf numFmtId="0" fontId="0" fillId="8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 applyProtection="1">
      <alignment horizontal="center" vertical="center"/>
    </xf>
    <xf numFmtId="0" fontId="4" fillId="16" borderId="11" xfId="0" applyFont="1" applyFill="1" applyBorder="1" applyAlignment="1" applyProtection="1">
      <alignment horizontal="center" vertical="center" wrapText="1"/>
    </xf>
    <xf numFmtId="0" fontId="4" fillId="16" borderId="8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164" fontId="0" fillId="12" borderId="1" xfId="0" applyNumberFormat="1" applyFont="1" applyFill="1" applyBorder="1"/>
    <xf numFmtId="0" fontId="2" fillId="0" borderId="14" xfId="0" applyFont="1" applyFill="1" applyBorder="1" applyAlignment="1" applyProtection="1">
      <alignment horizontal="center" vertical="center" wrapText="1"/>
    </xf>
    <xf numFmtId="1" fontId="2" fillId="0" borderId="1" xfId="0" applyNumberFormat="1" applyFont="1" applyFill="1" applyBorder="1" applyAlignment="1" applyProtection="1">
      <alignment horizontal="center" vertical="center"/>
    </xf>
    <xf numFmtId="2" fontId="2" fillId="0" borderId="1" xfId="0" applyNumberFormat="1" applyFont="1" applyFill="1" applyBorder="1" applyAlignment="1" applyProtection="1">
      <alignment horizontal="center" vertical="center"/>
    </xf>
    <xf numFmtId="164" fontId="2" fillId="0" borderId="7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9" borderId="14" xfId="0" applyFont="1" applyFill="1" applyBorder="1" applyAlignment="1" applyProtection="1">
      <alignment horizontal="center" vertical="center" wrapText="1"/>
    </xf>
    <xf numFmtId="0" fontId="2" fillId="9" borderId="1" xfId="0" applyFont="1" applyFill="1" applyBorder="1" applyAlignment="1" applyProtection="1">
      <alignment horizontal="center" vertical="center"/>
    </xf>
    <xf numFmtId="1" fontId="2" fillId="9" borderId="1" xfId="0" applyNumberFormat="1" applyFont="1" applyFill="1" applyBorder="1" applyAlignment="1" applyProtection="1">
      <alignment horizontal="center" vertical="center"/>
    </xf>
    <xf numFmtId="2" fontId="2" fillId="9" borderId="1" xfId="0" applyNumberFormat="1" applyFont="1" applyFill="1" applyBorder="1" applyAlignment="1" applyProtection="1">
      <alignment horizontal="center" vertical="center"/>
    </xf>
    <xf numFmtId="164" fontId="2" fillId="9" borderId="7" xfId="0" applyNumberFormat="1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 wrapText="1"/>
    </xf>
    <xf numFmtId="1" fontId="0" fillId="0" borderId="0" xfId="0" applyNumberFormat="1" applyFill="1" applyBorder="1" applyAlignment="1" applyProtection="1">
      <alignment horizontal="center" vertical="center"/>
    </xf>
    <xf numFmtId="164" fontId="0" fillId="0" borderId="0" xfId="0" applyNumberForma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0" borderId="19" xfId="0" applyFont="1" applyFill="1" applyBorder="1" applyAlignment="1" applyProtection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</xf>
    <xf numFmtId="0" fontId="5" fillId="0" borderId="22" xfId="0" applyFont="1" applyFill="1" applyBorder="1" applyAlignment="1" applyProtection="1">
      <alignment horizontal="center" vertical="center"/>
    </xf>
    <xf numFmtId="0" fontId="6" fillId="0" borderId="23" xfId="0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2" fontId="0" fillId="9" borderId="15" xfId="0" applyNumberFormat="1" applyFill="1" applyBorder="1" applyAlignment="1" applyProtection="1">
      <alignment horizontal="center" vertical="center"/>
    </xf>
    <xf numFmtId="2" fontId="0" fillId="9" borderId="7" xfId="0" applyNumberFormat="1" applyFill="1" applyBorder="1" applyAlignment="1" applyProtection="1">
      <alignment horizontal="center" vertical="center"/>
    </xf>
    <xf numFmtId="2" fontId="0" fillId="0" borderId="0" xfId="0" applyNumberFormat="1" applyFill="1" applyAlignment="1" applyProtection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9" borderId="6" xfId="0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 wrapText="1"/>
    </xf>
    <xf numFmtId="0" fontId="2" fillId="9" borderId="1" xfId="0" applyFont="1" applyFill="1" applyBorder="1" applyAlignment="1" applyProtection="1">
      <alignment horizontal="center" vertical="center"/>
    </xf>
    <xf numFmtId="0" fontId="4" fillId="16" borderId="11" xfId="0" applyFont="1" applyFill="1" applyBorder="1" applyAlignment="1" applyProtection="1">
      <alignment horizontal="center" vertical="center" wrapText="1"/>
    </xf>
    <xf numFmtId="0" fontId="4" fillId="16" borderId="8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9" borderId="1" xfId="0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0" fillId="9" borderId="6" xfId="0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 applyProtection="1">
      <alignment horizontal="center" vertical="center" wrapText="1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1" xfId="1" applyFont="1" applyFill="1" applyBorder="1" applyAlignment="1" applyProtection="1">
      <alignment horizontal="left" vertical="center" wrapText="1"/>
      <protection locked="0"/>
    </xf>
    <xf numFmtId="3" fontId="2" fillId="0" borderId="1" xfId="1" applyNumberFormat="1" applyFont="1" applyFill="1" applyBorder="1" applyAlignment="1" applyProtection="1">
      <alignment horizontal="center" vertical="center"/>
      <protection locked="0"/>
    </xf>
    <xf numFmtId="165" fontId="2" fillId="0" borderId="1" xfId="1" applyNumberFormat="1" applyFont="1" applyFill="1" applyBorder="1" applyAlignment="1" applyProtection="1">
      <alignment horizontal="center" vertical="center"/>
      <protection locked="0"/>
    </xf>
    <xf numFmtId="165" fontId="2" fillId="0" borderId="1" xfId="1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/>
    <xf numFmtId="14" fontId="0" fillId="0" borderId="1" xfId="0" quotePrefix="1" applyNumberFormat="1" applyFont="1" applyFill="1" applyBorder="1" applyAlignment="1">
      <alignment horizontal="center" vertical="center" wrapText="1"/>
    </xf>
    <xf numFmtId="14" fontId="0" fillId="0" borderId="1" xfId="0" quotePrefix="1" applyNumberFormat="1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left" vertical="top" wrapText="1"/>
      <protection locked="0"/>
    </xf>
    <xf numFmtId="0" fontId="0" fillId="0" borderId="6" xfId="0" applyFill="1" applyBorder="1" applyAlignment="1" applyProtection="1">
      <alignment horizontal="center" vertical="center"/>
    </xf>
    <xf numFmtId="0" fontId="0" fillId="9" borderId="6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0" fillId="9" borderId="1" xfId="0" applyFill="1" applyBorder="1" applyAlignment="1" applyProtection="1">
      <alignment horizontal="center" vertical="center"/>
    </xf>
    <xf numFmtId="0" fontId="4" fillId="16" borderId="33" xfId="0" applyFont="1" applyFill="1" applyBorder="1" applyAlignment="1" applyProtection="1">
      <alignment horizontal="center" vertical="center" wrapText="1"/>
    </xf>
    <xf numFmtId="1" fontId="2" fillId="0" borderId="2" xfId="0" applyNumberFormat="1" applyFont="1" applyFill="1" applyBorder="1" applyAlignment="1" applyProtection="1">
      <alignment horizontal="center" vertical="center"/>
    </xf>
    <xf numFmtId="1" fontId="2" fillId="9" borderId="2" xfId="0" applyNumberFormat="1" applyFont="1" applyFill="1" applyBorder="1" applyAlignment="1" applyProtection="1">
      <alignment horizontal="center" vertical="center"/>
    </xf>
    <xf numFmtId="0" fontId="4" fillId="16" borderId="34" xfId="0" applyFont="1" applyFill="1" applyBorder="1" applyAlignment="1" applyProtection="1">
      <alignment horizontal="center" vertical="center" wrapText="1"/>
    </xf>
    <xf numFmtId="1" fontId="2" fillId="0" borderId="3" xfId="0" applyNumberFormat="1" applyFont="1" applyFill="1" applyBorder="1" applyAlignment="1" applyProtection="1">
      <alignment horizontal="center" vertical="center"/>
    </xf>
    <xf numFmtId="1" fontId="2" fillId="9" borderId="3" xfId="0" applyNumberFormat="1" applyFont="1" applyFill="1" applyBorder="1" applyAlignment="1" applyProtection="1">
      <alignment horizontal="center" vertical="center"/>
    </xf>
    <xf numFmtId="0" fontId="4" fillId="16" borderId="37" xfId="0" applyFont="1" applyFill="1" applyBorder="1" applyAlignment="1" applyProtection="1">
      <alignment horizontal="center" vertical="center" wrapText="1"/>
    </xf>
    <xf numFmtId="0" fontId="4" fillId="16" borderId="38" xfId="0" applyFont="1" applyFill="1" applyBorder="1" applyAlignment="1" applyProtection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2" fillId="9" borderId="4" xfId="0" applyFont="1" applyFill="1" applyBorder="1" applyAlignment="1" applyProtection="1">
      <alignment horizontal="center" vertical="center"/>
    </xf>
    <xf numFmtId="0" fontId="2" fillId="9" borderId="5" xfId="0" applyFont="1" applyFill="1" applyBorder="1" applyAlignment="1" applyProtection="1">
      <alignment horizontal="center" vertical="center"/>
    </xf>
    <xf numFmtId="0" fontId="2" fillId="9" borderId="6" xfId="0" applyFont="1" applyFill="1" applyBorder="1" applyAlignment="1" applyProtection="1">
      <alignment horizontal="center" vertical="center"/>
    </xf>
    <xf numFmtId="0" fontId="0" fillId="9" borderId="4" xfId="0" applyFill="1" applyBorder="1" applyAlignment="1" applyProtection="1">
      <alignment horizontal="center" vertical="center"/>
    </xf>
    <xf numFmtId="0" fontId="0" fillId="9" borderId="5" xfId="0" applyFill="1" applyBorder="1" applyAlignment="1" applyProtection="1">
      <alignment horizontal="center" vertical="center"/>
    </xf>
    <xf numFmtId="0" fontId="0" fillId="9" borderId="6" xfId="0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1" fontId="0" fillId="0" borderId="4" xfId="0" applyNumberFormat="1" applyFill="1" applyBorder="1" applyAlignment="1" applyProtection="1">
      <alignment horizontal="center" vertical="center"/>
    </xf>
    <xf numFmtId="1" fontId="0" fillId="0" borderId="5" xfId="0" applyNumberFormat="1" applyFill="1" applyBorder="1" applyAlignment="1" applyProtection="1">
      <alignment horizontal="center" vertical="center"/>
    </xf>
    <xf numFmtId="1" fontId="0" fillId="0" borderId="6" xfId="0" applyNumberFormat="1" applyFill="1" applyBorder="1" applyAlignment="1" applyProtection="1">
      <alignment horizontal="center" vertical="center"/>
    </xf>
    <xf numFmtId="1" fontId="0" fillId="9" borderId="4" xfId="0" applyNumberFormat="1" applyFill="1" applyBorder="1" applyAlignment="1" applyProtection="1">
      <alignment horizontal="center" vertical="center"/>
    </xf>
    <xf numFmtId="1" fontId="0" fillId="9" borderId="5" xfId="0" applyNumberFormat="1" applyFill="1" applyBorder="1" applyAlignment="1" applyProtection="1">
      <alignment horizontal="center" vertical="center"/>
    </xf>
    <xf numFmtId="1" fontId="0" fillId="9" borderId="6" xfId="0" applyNumberForma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0" fillId="9" borderId="18" xfId="0" applyFill="1" applyBorder="1" applyAlignment="1" applyProtection="1">
      <alignment horizontal="center" vertical="center"/>
    </xf>
    <xf numFmtId="0" fontId="0" fillId="9" borderId="16" xfId="0" applyFill="1" applyBorder="1" applyAlignment="1" applyProtection="1">
      <alignment horizontal="center" vertical="center"/>
    </xf>
    <xf numFmtId="0" fontId="0" fillId="9" borderId="17" xfId="0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3" fontId="2" fillId="9" borderId="1" xfId="0" applyNumberFormat="1" applyFont="1" applyFill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horizontal="center" vertical="center"/>
    </xf>
    <xf numFmtId="0" fontId="0" fillId="0" borderId="16" xfId="0" applyFill="1" applyBorder="1" applyAlignment="1" applyProtection="1">
      <alignment horizontal="center" vertical="center"/>
    </xf>
    <xf numFmtId="0" fontId="0" fillId="0" borderId="17" xfId="0" applyFill="1" applyBorder="1" applyAlignment="1" applyProtection="1">
      <alignment horizontal="center" vertical="center"/>
    </xf>
    <xf numFmtId="0" fontId="2" fillId="9" borderId="4" xfId="0" applyFont="1" applyFill="1" applyBorder="1" applyAlignment="1" applyProtection="1">
      <alignment horizontal="center" vertical="center" wrapText="1"/>
    </xf>
    <xf numFmtId="0" fontId="2" fillId="9" borderId="5" xfId="0" applyFont="1" applyFill="1" applyBorder="1" applyAlignment="1" applyProtection="1">
      <alignment horizontal="center" vertical="center" wrapText="1"/>
    </xf>
    <xf numFmtId="0" fontId="2" fillId="9" borderId="6" xfId="0" applyFont="1" applyFill="1" applyBorder="1" applyAlignment="1" applyProtection="1">
      <alignment horizontal="center" vertical="center" wrapText="1"/>
    </xf>
    <xf numFmtId="3" fontId="2" fillId="9" borderId="4" xfId="0" applyNumberFormat="1" applyFont="1" applyFill="1" applyBorder="1" applyAlignment="1" applyProtection="1">
      <alignment horizontal="center" vertical="center"/>
    </xf>
    <xf numFmtId="3" fontId="2" fillId="9" borderId="5" xfId="0" applyNumberFormat="1" applyFont="1" applyFill="1" applyBorder="1" applyAlignment="1" applyProtection="1">
      <alignment horizontal="center" vertical="center"/>
    </xf>
    <xf numFmtId="3" fontId="2" fillId="9" borderId="6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/>
    </xf>
    <xf numFmtId="3" fontId="2" fillId="0" borderId="5" xfId="0" applyNumberFormat="1" applyFont="1" applyFill="1" applyBorder="1" applyAlignment="1" applyProtection="1">
      <alignment horizontal="center" vertical="center"/>
    </xf>
    <xf numFmtId="3" fontId="2" fillId="0" borderId="6" xfId="0" applyNumberFormat="1" applyFont="1" applyFill="1" applyBorder="1" applyAlignment="1" applyProtection="1">
      <alignment horizontal="center" vertical="center"/>
    </xf>
    <xf numFmtId="165" fontId="2" fillId="0" borderId="4" xfId="0" applyNumberFormat="1" applyFont="1" applyFill="1" applyBorder="1" applyAlignment="1" applyProtection="1">
      <alignment horizontal="center" vertical="center"/>
    </xf>
    <xf numFmtId="165" fontId="2" fillId="0" borderId="5" xfId="0" applyNumberFormat="1" applyFont="1" applyFill="1" applyBorder="1" applyAlignment="1" applyProtection="1">
      <alignment horizontal="center" vertical="center"/>
    </xf>
    <xf numFmtId="165" fontId="2" fillId="0" borderId="6" xfId="0" applyNumberFormat="1" applyFont="1" applyFill="1" applyBorder="1" applyAlignment="1" applyProtection="1">
      <alignment horizontal="center" vertical="center"/>
    </xf>
    <xf numFmtId="0" fontId="0" fillId="9" borderId="4" xfId="0" applyFill="1" applyBorder="1" applyAlignment="1" applyProtection="1">
      <alignment horizontal="center" vertical="center" wrapText="1"/>
    </xf>
    <xf numFmtId="0" fontId="0" fillId="9" borderId="5" xfId="0" applyFill="1" applyBorder="1" applyAlignment="1" applyProtection="1">
      <alignment horizontal="center" vertical="center" wrapText="1"/>
    </xf>
    <xf numFmtId="0" fontId="0" fillId="9" borderId="6" xfId="0" applyFill="1" applyBorder="1" applyAlignment="1" applyProtection="1">
      <alignment horizontal="center" vertical="center" wrapText="1"/>
    </xf>
    <xf numFmtId="3" fontId="0" fillId="9" borderId="4" xfId="0" applyNumberFormat="1" applyFill="1" applyBorder="1" applyAlignment="1" applyProtection="1">
      <alignment horizontal="center" vertical="center"/>
    </xf>
    <xf numFmtId="3" fontId="0" fillId="9" borderId="5" xfId="0" applyNumberFormat="1" applyFill="1" applyBorder="1" applyAlignment="1" applyProtection="1">
      <alignment horizontal="center" vertical="center"/>
    </xf>
    <xf numFmtId="3" fontId="0" fillId="9" borderId="6" xfId="0" applyNumberFormat="1" applyFill="1" applyBorder="1" applyAlignment="1" applyProtection="1">
      <alignment horizontal="center" vertical="center"/>
    </xf>
    <xf numFmtId="0" fontId="2" fillId="0" borderId="18" xfId="0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 applyProtection="1">
      <alignment horizontal="center" vertical="center"/>
    </xf>
    <xf numFmtId="0" fontId="4" fillId="16" borderId="11" xfId="0" applyFont="1" applyFill="1" applyBorder="1" applyAlignment="1" applyProtection="1">
      <alignment horizontal="center" vertical="center" wrapText="1"/>
    </xf>
    <xf numFmtId="0" fontId="4" fillId="16" borderId="8" xfId="0" applyFont="1" applyFill="1" applyBorder="1" applyAlignment="1" applyProtection="1">
      <alignment horizontal="center" vertical="center" wrapText="1"/>
    </xf>
    <xf numFmtId="0" fontId="4" fillId="16" borderId="27" xfId="0" applyFont="1" applyFill="1" applyBorder="1" applyAlignment="1" applyProtection="1">
      <alignment horizontal="center" vertical="center" wrapText="1"/>
    </xf>
    <xf numFmtId="0" fontId="4" fillId="16" borderId="28" xfId="0" applyFont="1" applyFill="1" applyBorder="1" applyAlignment="1" applyProtection="1">
      <alignment horizontal="center" vertical="center" wrapText="1"/>
    </xf>
    <xf numFmtId="0" fontId="4" fillId="16" borderId="29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/>
    </xf>
    <xf numFmtId="0" fontId="2" fillId="9" borderId="16" xfId="0" applyFont="1" applyFill="1" applyBorder="1" applyAlignment="1" applyProtection="1">
      <alignment horizontal="center" vertical="center"/>
    </xf>
    <xf numFmtId="0" fontId="2" fillId="9" borderId="17" xfId="0" applyFont="1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 vertical="center" wrapText="1"/>
    </xf>
    <xf numFmtId="0" fontId="0" fillId="0" borderId="5" xfId="0" applyFill="1" applyBorder="1" applyAlignment="1" applyProtection="1">
      <alignment horizontal="center" vertical="center" wrapText="1"/>
    </xf>
    <xf numFmtId="0" fontId="0" fillId="0" borderId="6" xfId="0" applyFill="1" applyBorder="1" applyAlignment="1" applyProtection="1">
      <alignment horizontal="center" vertical="center" wrapText="1"/>
    </xf>
    <xf numFmtId="3" fontId="0" fillId="0" borderId="4" xfId="0" applyNumberFormat="1" applyFill="1" applyBorder="1" applyAlignment="1" applyProtection="1">
      <alignment horizontal="center" vertical="center"/>
    </xf>
    <xf numFmtId="3" fontId="0" fillId="0" borderId="5" xfId="0" applyNumberFormat="1" applyFill="1" applyBorder="1" applyAlignment="1" applyProtection="1">
      <alignment horizontal="center" vertical="center"/>
    </xf>
    <xf numFmtId="3" fontId="0" fillId="0" borderId="6" xfId="0" applyNumberFormat="1" applyFill="1" applyBorder="1" applyAlignment="1" applyProtection="1">
      <alignment horizontal="center" vertical="center"/>
    </xf>
    <xf numFmtId="0" fontId="4" fillId="16" borderId="31" xfId="0" applyFont="1" applyFill="1" applyBorder="1" applyAlignment="1" applyProtection="1">
      <alignment horizontal="center" vertical="center" wrapText="1"/>
    </xf>
    <xf numFmtId="0" fontId="4" fillId="16" borderId="32" xfId="0" applyFont="1" applyFill="1" applyBorder="1" applyAlignment="1" applyProtection="1">
      <alignment horizontal="center" vertical="center" wrapText="1"/>
    </xf>
    <xf numFmtId="165" fontId="2" fillId="9" borderId="4" xfId="0" applyNumberFormat="1" applyFont="1" applyFill="1" applyBorder="1" applyAlignment="1" applyProtection="1">
      <alignment horizontal="center" vertical="center"/>
    </xf>
    <xf numFmtId="165" fontId="2" fillId="9" borderId="5" xfId="0" applyNumberFormat="1" applyFont="1" applyFill="1" applyBorder="1" applyAlignment="1" applyProtection="1">
      <alignment horizontal="center" vertical="center"/>
    </xf>
    <xf numFmtId="165" fontId="2" fillId="9" borderId="6" xfId="0" applyNumberFormat="1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/>
    </xf>
    <xf numFmtId="0" fontId="0" fillId="9" borderId="12" xfId="0" applyFill="1" applyBorder="1" applyAlignment="1" applyProtection="1">
      <alignment horizontal="center" vertical="center"/>
    </xf>
    <xf numFmtId="0" fontId="0" fillId="9" borderId="13" xfId="0" applyFill="1" applyBorder="1" applyAlignment="1" applyProtection="1">
      <alignment horizontal="center" vertical="center"/>
    </xf>
    <xf numFmtId="4" fontId="0" fillId="9" borderId="13" xfId="0" applyNumberFormat="1" applyFill="1" applyBorder="1" applyAlignment="1" applyProtection="1">
      <alignment horizontal="center" vertical="center"/>
    </xf>
    <xf numFmtId="4" fontId="0" fillId="9" borderId="5" xfId="0" applyNumberFormat="1" applyFill="1" applyBorder="1" applyAlignment="1" applyProtection="1">
      <alignment horizontal="center" vertical="center"/>
    </xf>
    <xf numFmtId="4" fontId="0" fillId="9" borderId="6" xfId="0" applyNumberForma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0" fillId="9" borderId="1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4" fillId="16" borderId="35" xfId="0" applyFont="1" applyFill="1" applyBorder="1" applyAlignment="1" applyProtection="1">
      <alignment horizontal="center" vertical="center" wrapText="1"/>
    </xf>
    <xf numFmtId="0" fontId="4" fillId="16" borderId="36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CC66"/>
      <color rgb="FF00FFFF"/>
      <color rgb="FF66FF66"/>
      <color rgb="FF6699FF"/>
      <color rgb="FFFF66FF"/>
      <color rgb="FFFF7C80"/>
      <color rgb="FFFFFF66"/>
      <color rgb="FF99CCFF"/>
      <color rgb="FFCC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CDLL%20Tie-Down%20Provision_18-8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-Down Provision Workings"/>
      <sheetName val="Fastener Data"/>
      <sheetName val="Tie-Down Provision Summary"/>
    </sheetNames>
    <sheetDataSet>
      <sheetData sheetId="0">
        <row r="10">
          <cell r="C10" t="str">
            <v>Air-Con (IDU 1, 2) fastened to front wall</v>
          </cell>
          <cell r="D10">
            <v>14</v>
          </cell>
          <cell r="E10">
            <v>549.36</v>
          </cell>
          <cell r="F10">
            <v>274.68</v>
          </cell>
          <cell r="G10">
            <v>206.01</v>
          </cell>
          <cell r="I10">
            <v>8.8000000000000007</v>
          </cell>
          <cell r="J10" t="str">
            <v>M6</v>
          </cell>
          <cell r="K10">
            <v>17.893999999999998</v>
          </cell>
          <cell r="L10">
            <v>640</v>
          </cell>
          <cell r="M10">
            <v>320</v>
          </cell>
          <cell r="N10">
            <v>11452.16</v>
          </cell>
          <cell r="O10">
            <v>5726.08</v>
          </cell>
          <cell r="P10">
            <v>6</v>
          </cell>
          <cell r="Q10">
            <v>0</v>
          </cell>
          <cell r="R10">
            <v>0</v>
          </cell>
          <cell r="S10">
            <v>6</v>
          </cell>
          <cell r="T10">
            <v>91.56</v>
          </cell>
          <cell r="U10">
            <v>45.78</v>
          </cell>
          <cell r="V10">
            <v>34.335000000000001</v>
          </cell>
          <cell r="W10">
            <v>125.0782000873744</v>
          </cell>
          <cell r="X10">
            <v>125.0782000873744</v>
          </cell>
          <cell r="Y10">
            <v>166.77093344983251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>
            <v>91.56</v>
          </cell>
          <cell r="AM10">
            <v>45.78</v>
          </cell>
          <cell r="AN10">
            <v>34.335000000000001</v>
          </cell>
          <cell r="AO10" t="str">
            <v>Tensile</v>
          </cell>
          <cell r="AP10" t="str">
            <v>Shear</v>
          </cell>
          <cell r="AQ10" t="str">
            <v>Shear</v>
          </cell>
          <cell r="AR10">
            <v>125.0782000873744</v>
          </cell>
          <cell r="AS10">
            <v>125.0782000873744</v>
          </cell>
          <cell r="AT10">
            <v>166.77093344983251</v>
          </cell>
        </row>
        <row r="11">
          <cell r="C11" t="str">
            <v>Air-Con (IDU 3) fastened to right wall</v>
          </cell>
          <cell r="D11">
            <v>14</v>
          </cell>
          <cell r="E11">
            <v>549.36</v>
          </cell>
          <cell r="F11">
            <v>274.68</v>
          </cell>
          <cell r="G11">
            <v>206.01</v>
          </cell>
          <cell r="I11">
            <v>8.8000000000000007</v>
          </cell>
          <cell r="J11" t="str">
            <v>M6</v>
          </cell>
          <cell r="K11">
            <v>17.893999999999998</v>
          </cell>
          <cell r="L11">
            <v>640</v>
          </cell>
          <cell r="M11">
            <v>320</v>
          </cell>
          <cell r="N11">
            <v>11452.16</v>
          </cell>
          <cell r="O11">
            <v>5726.08</v>
          </cell>
          <cell r="P11">
            <v>0</v>
          </cell>
          <cell r="Q11">
            <v>0</v>
          </cell>
          <cell r="R11">
            <v>6</v>
          </cell>
          <cell r="S11">
            <v>6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>
            <v>91.56</v>
          </cell>
          <cell r="AG11">
            <v>45.78</v>
          </cell>
          <cell r="AH11">
            <v>34.335000000000001</v>
          </cell>
          <cell r="AI11">
            <v>62.539100043687199</v>
          </cell>
          <cell r="AJ11">
            <v>125.0782000873744</v>
          </cell>
          <cell r="AK11">
            <v>333.54186689966502</v>
          </cell>
          <cell r="AL11">
            <v>91.56</v>
          </cell>
          <cell r="AM11">
            <v>45.78</v>
          </cell>
          <cell r="AN11">
            <v>34.335000000000001</v>
          </cell>
          <cell r="AO11" t="str">
            <v>Shear</v>
          </cell>
          <cell r="AP11" t="str">
            <v>Shear</v>
          </cell>
          <cell r="AQ11" t="str">
            <v>Tensile</v>
          </cell>
          <cell r="AR11">
            <v>62.539100043687199</v>
          </cell>
          <cell r="AS11">
            <v>125.0782000873744</v>
          </cell>
          <cell r="AT11">
            <v>333.54186689966502</v>
          </cell>
        </row>
        <row r="12">
          <cell r="C12" t="str">
            <v>Air-Con (ODU 1, 2, 3) fastened to the top frame of the utility rack and the floor of the EM mast working platform</v>
          </cell>
          <cell r="D12">
            <v>51</v>
          </cell>
          <cell r="E12">
            <v>2001.24</v>
          </cell>
          <cell r="F12">
            <v>1000.62</v>
          </cell>
          <cell r="G12">
            <v>750.46500000000003</v>
          </cell>
          <cell r="I12">
            <v>8.8000000000000007</v>
          </cell>
          <cell r="J12" t="str">
            <v>M10</v>
          </cell>
          <cell r="K12">
            <v>52.292000000000002</v>
          </cell>
          <cell r="L12">
            <v>640</v>
          </cell>
          <cell r="M12">
            <v>320</v>
          </cell>
          <cell r="N12">
            <v>33466.880000000005</v>
          </cell>
          <cell r="O12">
            <v>16733.440000000002</v>
          </cell>
          <cell r="P12">
            <v>0</v>
          </cell>
          <cell r="Q12">
            <v>4</v>
          </cell>
          <cell r="R12">
            <v>0</v>
          </cell>
          <cell r="S12">
            <v>4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>
            <v>500.31</v>
          </cell>
          <cell r="AA12">
            <v>250.155</v>
          </cell>
          <cell r="AB12">
            <v>187.61625000000001</v>
          </cell>
          <cell r="AC12">
            <v>33.446143391097522</v>
          </cell>
          <cell r="AD12">
            <v>133.78457356439009</v>
          </cell>
          <cell r="AE12">
            <v>89.189715709593401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>
            <v>500.31</v>
          </cell>
          <cell r="AM12">
            <v>250.155</v>
          </cell>
          <cell r="AN12">
            <v>187.61625000000001</v>
          </cell>
          <cell r="AO12" t="str">
            <v>Shear</v>
          </cell>
          <cell r="AP12" t="str">
            <v>Tensile</v>
          </cell>
          <cell r="AQ12" t="str">
            <v>Shear</v>
          </cell>
          <cell r="AR12">
            <v>33.446143391097522</v>
          </cell>
          <cell r="AS12">
            <v>133.78457356439009</v>
          </cell>
          <cell r="AT12">
            <v>89.189715709593401</v>
          </cell>
        </row>
        <row r="13">
          <cell r="C13" t="str">
            <v>Foldable Table fastened to right side wall</v>
          </cell>
          <cell r="D13">
            <v>10</v>
          </cell>
          <cell r="E13">
            <v>392.40000000000003</v>
          </cell>
          <cell r="F13">
            <v>196.20000000000002</v>
          </cell>
          <cell r="G13">
            <v>147.15</v>
          </cell>
          <cell r="I13">
            <v>8.8000000000000007</v>
          </cell>
          <cell r="J13" t="str">
            <v>M6</v>
          </cell>
          <cell r="K13">
            <v>17.893999999999998</v>
          </cell>
          <cell r="L13">
            <v>640</v>
          </cell>
          <cell r="M13">
            <v>320</v>
          </cell>
          <cell r="N13">
            <v>11452.16</v>
          </cell>
          <cell r="O13">
            <v>5726.08</v>
          </cell>
          <cell r="P13">
            <v>0</v>
          </cell>
          <cell r="Q13">
            <v>0</v>
          </cell>
          <cell r="R13">
            <v>6</v>
          </cell>
          <cell r="S13">
            <v>6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>
            <v>65.400000000000006</v>
          </cell>
          <cell r="AG13">
            <v>32.700000000000003</v>
          </cell>
          <cell r="AH13">
            <v>24.525000000000002</v>
          </cell>
          <cell r="AI13">
            <v>87.554740061162065</v>
          </cell>
          <cell r="AJ13">
            <v>175.10948012232413</v>
          </cell>
          <cell r="AK13">
            <v>466.95861365953107</v>
          </cell>
          <cell r="AL13">
            <v>65.400000000000006</v>
          </cell>
          <cell r="AM13">
            <v>32.700000000000003</v>
          </cell>
          <cell r="AN13">
            <v>24.525000000000002</v>
          </cell>
          <cell r="AO13" t="str">
            <v>Shear</v>
          </cell>
          <cell r="AP13" t="str">
            <v>Shear</v>
          </cell>
          <cell r="AQ13" t="str">
            <v>Tensile</v>
          </cell>
          <cell r="AR13">
            <v>87.554740061162065</v>
          </cell>
          <cell r="AS13">
            <v>175.10948012232413</v>
          </cell>
          <cell r="AT13">
            <v>466.95861365953107</v>
          </cell>
        </row>
        <row r="14">
          <cell r="C14" t="str">
            <v>Foldable Chairs (3x) strap to the rear wall</v>
          </cell>
          <cell r="D14">
            <v>13.5</v>
          </cell>
          <cell r="E14">
            <v>529.74</v>
          </cell>
          <cell r="F14">
            <v>264.87</v>
          </cell>
          <cell r="G14">
            <v>198.6525</v>
          </cell>
          <cell r="I14" t="str">
            <v>Camlock Strap (1")</v>
          </cell>
          <cell r="J14" t="str">
            <v>Camlock Strap (1")</v>
          </cell>
          <cell r="K14">
            <v>1</v>
          </cell>
          <cell r="L14">
            <v>2500</v>
          </cell>
          <cell r="M14">
            <v>2500</v>
          </cell>
          <cell r="N14">
            <v>2500</v>
          </cell>
          <cell r="O14">
            <v>2500</v>
          </cell>
          <cell r="P14">
            <v>1</v>
          </cell>
          <cell r="Q14">
            <v>0</v>
          </cell>
          <cell r="R14">
            <v>0</v>
          </cell>
          <cell r="S14">
            <v>1</v>
          </cell>
          <cell r="T14">
            <v>529.74</v>
          </cell>
          <cell r="U14">
            <v>264.87</v>
          </cell>
          <cell r="V14">
            <v>198.6525</v>
          </cell>
          <cell r="W14">
            <v>4.7192962585419265</v>
          </cell>
          <cell r="X14">
            <v>9.4385925170838529</v>
          </cell>
          <cell r="Y14">
            <v>12.584790022778471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>
            <v>529.74</v>
          </cell>
          <cell r="AM14">
            <v>264.87</v>
          </cell>
          <cell r="AN14">
            <v>198.6525</v>
          </cell>
          <cell r="AO14" t="str">
            <v>Tensile</v>
          </cell>
          <cell r="AP14" t="str">
            <v>Shear</v>
          </cell>
          <cell r="AQ14" t="str">
            <v>Shear</v>
          </cell>
          <cell r="AR14">
            <v>4.7192962585419265</v>
          </cell>
          <cell r="AS14">
            <v>9.4385925170838529</v>
          </cell>
          <cell r="AT14">
            <v>12.584790022778471</v>
          </cell>
        </row>
        <row r="15">
          <cell r="C15" t="str">
            <v>First Aid Kit strap to the rear wall</v>
          </cell>
          <cell r="D15">
            <v>2</v>
          </cell>
          <cell r="E15">
            <v>78.48</v>
          </cell>
          <cell r="F15">
            <v>39.24</v>
          </cell>
          <cell r="G15">
            <v>29.43</v>
          </cell>
          <cell r="I15" t="str">
            <v>Camlock Strap (1")</v>
          </cell>
          <cell r="J15" t="str">
            <v>Camlock Strap (1")</v>
          </cell>
          <cell r="K15">
            <v>1</v>
          </cell>
          <cell r="L15">
            <v>2500</v>
          </cell>
          <cell r="M15">
            <v>2500</v>
          </cell>
          <cell r="N15">
            <v>2500</v>
          </cell>
          <cell r="O15">
            <v>2500</v>
          </cell>
          <cell r="P15">
            <v>1</v>
          </cell>
          <cell r="Q15">
            <v>0</v>
          </cell>
          <cell r="R15">
            <v>0</v>
          </cell>
          <cell r="S15">
            <v>1</v>
          </cell>
          <cell r="T15">
            <v>78.48</v>
          </cell>
          <cell r="U15">
            <v>39.24</v>
          </cell>
          <cell r="V15">
            <v>29.43</v>
          </cell>
          <cell r="W15">
            <v>31.855249745158002</v>
          </cell>
          <cell r="X15">
            <v>63.710499490316003</v>
          </cell>
          <cell r="Y15">
            <v>84.947332653754671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>
            <v>78.48</v>
          </cell>
          <cell r="AM15">
            <v>39.24</v>
          </cell>
          <cell r="AN15">
            <v>29.43</v>
          </cell>
          <cell r="AO15" t="str">
            <v>Tensile</v>
          </cell>
          <cell r="AP15" t="str">
            <v>Shear</v>
          </cell>
          <cell r="AQ15" t="str">
            <v>Shear</v>
          </cell>
          <cell r="AR15">
            <v>31.855249745158002</v>
          </cell>
          <cell r="AS15">
            <v>63.710499490316003</v>
          </cell>
          <cell r="AT15">
            <v>84.947332653754671</v>
          </cell>
        </row>
        <row r="16">
          <cell r="C16" t="str">
            <v>CO Detector fastenered to the rear wall</v>
          </cell>
          <cell r="D16">
            <v>1</v>
          </cell>
          <cell r="E16">
            <v>39.24</v>
          </cell>
          <cell r="F16">
            <v>19.62</v>
          </cell>
          <cell r="G16">
            <v>14.715</v>
          </cell>
          <cell r="I16" t="str">
            <v>Camlock Strap (1")</v>
          </cell>
          <cell r="J16" t="str">
            <v>Camlock Strap (1")</v>
          </cell>
          <cell r="K16">
            <v>1</v>
          </cell>
          <cell r="L16">
            <v>2500</v>
          </cell>
          <cell r="M16">
            <v>2500</v>
          </cell>
          <cell r="N16">
            <v>2500</v>
          </cell>
          <cell r="O16">
            <v>2500</v>
          </cell>
          <cell r="P16">
            <v>1</v>
          </cell>
          <cell r="Q16">
            <v>0</v>
          </cell>
          <cell r="R16">
            <v>0</v>
          </cell>
          <cell r="S16">
            <v>1</v>
          </cell>
          <cell r="T16">
            <v>39.24</v>
          </cell>
          <cell r="U16">
            <v>19.62</v>
          </cell>
          <cell r="V16">
            <v>14.715</v>
          </cell>
          <cell r="W16">
            <v>63.710499490316003</v>
          </cell>
          <cell r="X16">
            <v>127.42099898063201</v>
          </cell>
          <cell r="Y16">
            <v>169.89466530750934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>
            <v>39.24</v>
          </cell>
          <cell r="AM16">
            <v>19.62</v>
          </cell>
          <cell r="AN16">
            <v>14.715</v>
          </cell>
          <cell r="AO16" t="str">
            <v>Tensile</v>
          </cell>
          <cell r="AP16" t="str">
            <v>Shear</v>
          </cell>
          <cell r="AQ16" t="str">
            <v>Shear</v>
          </cell>
          <cell r="AR16">
            <v>63.710499490316003</v>
          </cell>
          <cell r="AS16">
            <v>127.42099898063201</v>
          </cell>
          <cell r="AT16">
            <v>169.89466530750934</v>
          </cell>
        </row>
        <row r="17">
          <cell r="C17" t="str">
            <v>Fire Extinguisher fastened to the rear wall</v>
          </cell>
          <cell r="D17">
            <v>4</v>
          </cell>
          <cell r="E17">
            <v>156.96</v>
          </cell>
          <cell r="F17">
            <v>78.48</v>
          </cell>
          <cell r="G17">
            <v>58.86</v>
          </cell>
          <cell r="H17" t="str">
            <v>Allan</v>
          </cell>
          <cell r="I17">
            <v>8.8000000000000007</v>
          </cell>
          <cell r="J17" t="str">
            <v>M6</v>
          </cell>
          <cell r="K17">
            <v>17.893999999999998</v>
          </cell>
          <cell r="L17">
            <v>640</v>
          </cell>
          <cell r="M17">
            <v>320</v>
          </cell>
          <cell r="N17">
            <v>11452.16</v>
          </cell>
          <cell r="O17">
            <v>5726.08</v>
          </cell>
          <cell r="P17">
            <v>3</v>
          </cell>
          <cell r="Q17">
            <v>0</v>
          </cell>
          <cell r="R17">
            <v>0</v>
          </cell>
          <cell r="S17">
            <v>3</v>
          </cell>
          <cell r="T17">
            <v>52.32</v>
          </cell>
          <cell r="U17">
            <v>26.16</v>
          </cell>
          <cell r="V17">
            <v>19.62</v>
          </cell>
          <cell r="W17">
            <v>218.8868501529052</v>
          </cell>
          <cell r="X17">
            <v>218.8868501529052</v>
          </cell>
          <cell r="Y17">
            <v>291.84913353720691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>
            <v>52.32</v>
          </cell>
          <cell r="AM17">
            <v>26.16</v>
          </cell>
          <cell r="AN17">
            <v>19.62</v>
          </cell>
          <cell r="AO17" t="str">
            <v>Tensile</v>
          </cell>
          <cell r="AP17" t="str">
            <v>Shear</v>
          </cell>
          <cell r="AQ17" t="str">
            <v>Shear</v>
          </cell>
          <cell r="AR17">
            <v>218.8868501529052</v>
          </cell>
          <cell r="AS17">
            <v>218.8868501529052</v>
          </cell>
          <cell r="AT17">
            <v>291.84913353720691</v>
          </cell>
        </row>
        <row r="18">
          <cell r="C18" t="str">
            <v>Safety Harness with Bag strap to the rear wall</v>
          </cell>
          <cell r="D18">
            <v>10</v>
          </cell>
          <cell r="E18">
            <v>392.40000000000003</v>
          </cell>
          <cell r="F18">
            <v>196.20000000000002</v>
          </cell>
          <cell r="G18">
            <v>147.15</v>
          </cell>
          <cell r="I18" t="str">
            <v>Camlock Strap (1")</v>
          </cell>
          <cell r="J18" t="str">
            <v>Camlock Strap (1")</v>
          </cell>
          <cell r="K18">
            <v>1</v>
          </cell>
          <cell r="L18">
            <v>2500</v>
          </cell>
          <cell r="M18">
            <v>2500</v>
          </cell>
          <cell r="N18">
            <v>2500</v>
          </cell>
          <cell r="O18">
            <v>2500</v>
          </cell>
          <cell r="P18">
            <v>1</v>
          </cell>
          <cell r="Q18">
            <v>0</v>
          </cell>
          <cell r="R18">
            <v>0</v>
          </cell>
          <cell r="S18">
            <v>1</v>
          </cell>
          <cell r="T18">
            <v>392.40000000000003</v>
          </cell>
          <cell r="U18">
            <v>196.20000000000002</v>
          </cell>
          <cell r="V18">
            <v>147.15</v>
          </cell>
          <cell r="W18">
            <v>6.3710499490316002</v>
          </cell>
          <cell r="X18">
            <v>12.7420998980632</v>
          </cell>
          <cell r="Y18">
            <v>16.989466530750935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>
            <v>392.40000000000003</v>
          </cell>
          <cell r="AM18">
            <v>196.20000000000002</v>
          </cell>
          <cell r="AN18">
            <v>147.15</v>
          </cell>
          <cell r="AO18" t="str">
            <v>Tensile</v>
          </cell>
          <cell r="AP18" t="str">
            <v>Shear</v>
          </cell>
          <cell r="AQ18" t="str">
            <v>Shear</v>
          </cell>
          <cell r="AR18">
            <v>6.3710499490316002</v>
          </cell>
          <cell r="AS18">
            <v>12.7420998980632</v>
          </cell>
          <cell r="AT18">
            <v>16.989466530750935</v>
          </cell>
        </row>
        <row r="19">
          <cell r="C19" t="str">
            <v>DCC Touch Panel fastened to the rear wall</v>
          </cell>
          <cell r="D19">
            <v>10</v>
          </cell>
          <cell r="E19">
            <v>392.40000000000003</v>
          </cell>
          <cell r="F19">
            <v>196.20000000000002</v>
          </cell>
          <cell r="G19">
            <v>147.15</v>
          </cell>
          <cell r="I19">
            <v>8.8000000000000007</v>
          </cell>
          <cell r="J19" t="str">
            <v>M6</v>
          </cell>
          <cell r="K19">
            <v>17.893999999999998</v>
          </cell>
          <cell r="L19">
            <v>640</v>
          </cell>
          <cell r="M19">
            <v>320</v>
          </cell>
          <cell r="N19">
            <v>11452.16</v>
          </cell>
          <cell r="O19">
            <v>5726.08</v>
          </cell>
          <cell r="P19">
            <v>4</v>
          </cell>
          <cell r="Q19">
            <v>0</v>
          </cell>
          <cell r="R19">
            <v>0</v>
          </cell>
          <cell r="S19">
            <v>4</v>
          </cell>
          <cell r="T19">
            <v>98.100000000000009</v>
          </cell>
          <cell r="U19">
            <v>49.050000000000004</v>
          </cell>
          <cell r="V19">
            <v>36.787500000000001</v>
          </cell>
          <cell r="W19">
            <v>116.73965341488277</v>
          </cell>
          <cell r="X19">
            <v>116.73965341488277</v>
          </cell>
          <cell r="Y19">
            <v>155.65287121984369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>
            <v>98.100000000000009</v>
          </cell>
          <cell r="AM19">
            <v>49.050000000000004</v>
          </cell>
          <cell r="AN19">
            <v>36.787500000000001</v>
          </cell>
          <cell r="AO19" t="str">
            <v>Tensile</v>
          </cell>
          <cell r="AP19" t="str">
            <v>Shear</v>
          </cell>
          <cell r="AQ19" t="str">
            <v>Shear</v>
          </cell>
          <cell r="AR19">
            <v>116.73965341488277</v>
          </cell>
          <cell r="AS19">
            <v>116.73965341488277</v>
          </cell>
          <cell r="AT19">
            <v>155.65287121984369</v>
          </cell>
        </row>
        <row r="20">
          <cell r="C20" t="str">
            <v>Generator fastened to the base structure at Outdoor Facilities</v>
          </cell>
          <cell r="D20">
            <v>1269</v>
          </cell>
          <cell r="E20">
            <v>49795.560000000005</v>
          </cell>
          <cell r="F20">
            <v>24897.780000000002</v>
          </cell>
          <cell r="G20">
            <v>18673.335000000003</v>
          </cell>
          <cell r="I20">
            <v>8.8000000000000007</v>
          </cell>
          <cell r="J20" t="str">
            <v>M12</v>
          </cell>
          <cell r="K20">
            <v>76.247</v>
          </cell>
          <cell r="L20">
            <v>640</v>
          </cell>
          <cell r="M20">
            <v>320</v>
          </cell>
          <cell r="N20">
            <v>48798.080000000002</v>
          </cell>
          <cell r="O20">
            <v>24399.040000000001</v>
          </cell>
          <cell r="P20">
            <v>0</v>
          </cell>
          <cell r="Q20">
            <v>10</v>
          </cell>
          <cell r="R20">
            <v>0</v>
          </cell>
          <cell r="S20">
            <v>10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>
            <v>4979.5560000000005</v>
          </cell>
          <cell r="AA20">
            <v>2489.7780000000002</v>
          </cell>
          <cell r="AB20">
            <v>1867.3335000000002</v>
          </cell>
          <cell r="AC20">
            <v>4.8998424759155235</v>
          </cell>
          <cell r="AD20">
            <v>19.599369903662094</v>
          </cell>
          <cell r="AE20">
            <v>13.066246602441394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>
            <v>4979.5560000000005</v>
          </cell>
          <cell r="AM20">
            <v>2489.7780000000002</v>
          </cell>
          <cell r="AN20">
            <v>1867.3335000000002</v>
          </cell>
          <cell r="AO20" t="str">
            <v>Shear</v>
          </cell>
          <cell r="AP20" t="str">
            <v>Tensile</v>
          </cell>
          <cell r="AQ20" t="str">
            <v>Shear</v>
          </cell>
          <cell r="AR20">
            <v>4.8998424759155235</v>
          </cell>
          <cell r="AS20">
            <v>19.599369903662094</v>
          </cell>
          <cell r="AT20">
            <v>13.066246602441394</v>
          </cell>
        </row>
        <row r="21">
          <cell r="C21" t="str">
            <v>Outdoor Facilities Ladder latched in the Outdoor Service Ladder Storage</v>
          </cell>
          <cell r="D21">
            <v>20</v>
          </cell>
          <cell r="E21">
            <v>784.80000000000007</v>
          </cell>
          <cell r="F21">
            <v>392.40000000000003</v>
          </cell>
          <cell r="G21">
            <v>294.3</v>
          </cell>
          <cell r="I21" t="str">
            <v>Spring Latch</v>
          </cell>
          <cell r="J21" t="str">
            <v>Spring Latch</v>
          </cell>
          <cell r="K21">
            <v>113.09733552923255</v>
          </cell>
          <cell r="L21">
            <v>165</v>
          </cell>
          <cell r="M21">
            <v>82.5</v>
          </cell>
          <cell r="N21">
            <v>18661.060362323373</v>
          </cell>
          <cell r="O21">
            <v>9330.5301811616864</v>
          </cell>
          <cell r="P21">
            <v>1</v>
          </cell>
          <cell r="Q21">
            <v>0</v>
          </cell>
          <cell r="R21">
            <v>0</v>
          </cell>
          <cell r="S21">
            <v>1</v>
          </cell>
          <cell r="T21">
            <v>784.80000000000007</v>
          </cell>
          <cell r="U21">
            <v>392.40000000000003</v>
          </cell>
          <cell r="V21">
            <v>294.3</v>
          </cell>
          <cell r="W21">
            <v>23.778109534051186</v>
          </cell>
          <cell r="X21">
            <v>23.778109534051186</v>
          </cell>
          <cell r="Y21">
            <v>31.704146045401583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>
            <v>784.80000000000007</v>
          </cell>
          <cell r="AM21">
            <v>392.40000000000003</v>
          </cell>
          <cell r="AN21">
            <v>294.3</v>
          </cell>
          <cell r="AO21" t="str">
            <v>Tensile</v>
          </cell>
          <cell r="AP21" t="str">
            <v>Shear</v>
          </cell>
          <cell r="AQ21" t="str">
            <v>Shear</v>
          </cell>
          <cell r="AR21">
            <v>23.778109534051186</v>
          </cell>
          <cell r="AS21">
            <v>23.778109534051186</v>
          </cell>
          <cell r="AT21">
            <v>31.704146045401583</v>
          </cell>
        </row>
        <row r="22">
          <cell r="C22" t="str">
            <v xml:space="preserve">Outdoor Facilities Ladder Storage fastened to the front bottom beam at Outdoor Facilities Area </v>
          </cell>
          <cell r="D22">
            <v>35</v>
          </cell>
          <cell r="E22">
            <v>1373.4</v>
          </cell>
          <cell r="F22">
            <v>686.7</v>
          </cell>
          <cell r="G22">
            <v>515.02500000000009</v>
          </cell>
          <cell r="I22">
            <v>8.8000000000000007</v>
          </cell>
          <cell r="J22" t="str">
            <v>M8</v>
          </cell>
          <cell r="K22">
            <v>32.841000000000001</v>
          </cell>
          <cell r="L22">
            <v>640</v>
          </cell>
          <cell r="M22">
            <v>320</v>
          </cell>
          <cell r="N22">
            <v>21018.240000000002</v>
          </cell>
          <cell r="O22">
            <v>10509.12</v>
          </cell>
          <cell r="P22">
            <v>12</v>
          </cell>
          <cell r="Q22">
            <v>0</v>
          </cell>
          <cell r="R22">
            <v>0</v>
          </cell>
          <cell r="S22">
            <v>12</v>
          </cell>
          <cell r="T22">
            <v>114.45</v>
          </cell>
          <cell r="U22">
            <v>57.225000000000001</v>
          </cell>
          <cell r="V22">
            <v>42.91875000000001</v>
          </cell>
          <cell r="W22">
            <v>183.64560943643514</v>
          </cell>
          <cell r="X22">
            <v>183.64560943643514</v>
          </cell>
          <cell r="Y22">
            <v>244.86081258191345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>
            <v>114.45</v>
          </cell>
          <cell r="AM22">
            <v>57.225000000000001</v>
          </cell>
          <cell r="AN22">
            <v>42.91875000000001</v>
          </cell>
          <cell r="AO22" t="str">
            <v>Tensile</v>
          </cell>
          <cell r="AP22" t="str">
            <v>Shear</v>
          </cell>
          <cell r="AQ22" t="str">
            <v>Shear</v>
          </cell>
          <cell r="AR22">
            <v>183.64560943643514</v>
          </cell>
          <cell r="AS22">
            <v>183.64560943643514</v>
          </cell>
          <cell r="AT22">
            <v>244.86081258191345</v>
          </cell>
        </row>
        <row r="23">
          <cell r="C23" t="str">
            <v>Rear Door Ladder latched in the Rear Door Ladder Storage</v>
          </cell>
          <cell r="D23">
            <v>20</v>
          </cell>
          <cell r="E23">
            <v>784.80000000000007</v>
          </cell>
          <cell r="F23">
            <v>392.40000000000003</v>
          </cell>
          <cell r="G23">
            <v>294.3</v>
          </cell>
          <cell r="I23" t="str">
            <v>Spring Latch</v>
          </cell>
          <cell r="J23" t="str">
            <v>Spring Latch</v>
          </cell>
          <cell r="K23">
            <v>113.09733552923255</v>
          </cell>
          <cell r="L23">
            <v>165</v>
          </cell>
          <cell r="M23">
            <v>82.5</v>
          </cell>
          <cell r="N23">
            <v>18661.060362323373</v>
          </cell>
          <cell r="O23">
            <v>9330.5301811616864</v>
          </cell>
          <cell r="P23">
            <v>1</v>
          </cell>
          <cell r="Q23">
            <v>0</v>
          </cell>
          <cell r="R23">
            <v>0</v>
          </cell>
          <cell r="S23">
            <v>1</v>
          </cell>
          <cell r="T23">
            <v>784.80000000000007</v>
          </cell>
          <cell r="U23">
            <v>392.40000000000003</v>
          </cell>
          <cell r="V23">
            <v>294.3</v>
          </cell>
          <cell r="W23">
            <v>23.778109534051186</v>
          </cell>
          <cell r="X23">
            <v>23.778109534051186</v>
          </cell>
          <cell r="Y23">
            <v>31.704146045401583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>
            <v>784.80000000000007</v>
          </cell>
          <cell r="AM23">
            <v>392.40000000000003</v>
          </cell>
          <cell r="AN23">
            <v>294.3</v>
          </cell>
          <cell r="AO23" t="str">
            <v>Tensile</v>
          </cell>
          <cell r="AP23" t="str">
            <v>Shear</v>
          </cell>
          <cell r="AQ23" t="str">
            <v>Shear</v>
          </cell>
          <cell r="AR23">
            <v>23.778109534051186</v>
          </cell>
          <cell r="AS23">
            <v>23.778109534051186</v>
          </cell>
          <cell r="AT23">
            <v>31.704146045401583</v>
          </cell>
        </row>
        <row r="24">
          <cell r="C24" t="str">
            <v xml:space="preserve">Rear Door Ladder Storage w/ platform fastened to the rear bottom beam </v>
          </cell>
          <cell r="D24">
            <v>45</v>
          </cell>
          <cell r="E24">
            <v>1765.8000000000002</v>
          </cell>
          <cell r="F24">
            <v>882.90000000000009</v>
          </cell>
          <cell r="G24">
            <v>662.17500000000007</v>
          </cell>
          <cell r="I24">
            <v>8.8000000000000007</v>
          </cell>
          <cell r="J24" t="str">
            <v>M6</v>
          </cell>
          <cell r="K24">
            <v>17.893999999999998</v>
          </cell>
          <cell r="L24">
            <v>640</v>
          </cell>
          <cell r="M24">
            <v>320</v>
          </cell>
          <cell r="N24">
            <v>11452.16</v>
          </cell>
          <cell r="O24">
            <v>5726.08</v>
          </cell>
          <cell r="P24">
            <v>20</v>
          </cell>
          <cell r="Q24">
            <v>0</v>
          </cell>
          <cell r="R24">
            <v>0</v>
          </cell>
          <cell r="S24">
            <v>20</v>
          </cell>
          <cell r="T24">
            <v>88.29</v>
          </cell>
          <cell r="U24">
            <v>44.145000000000003</v>
          </cell>
          <cell r="V24">
            <v>33.108750000000001</v>
          </cell>
          <cell r="W24">
            <v>129.7107260165364</v>
          </cell>
          <cell r="X24">
            <v>129.7107260165364</v>
          </cell>
          <cell r="Y24">
            <v>172.94763468871523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>
            <v>88.29</v>
          </cell>
          <cell r="AM24">
            <v>44.145000000000003</v>
          </cell>
          <cell r="AN24">
            <v>33.108750000000001</v>
          </cell>
          <cell r="AO24" t="str">
            <v>Tensile</v>
          </cell>
          <cell r="AP24" t="str">
            <v>Shear</v>
          </cell>
          <cell r="AQ24" t="str">
            <v>Shear</v>
          </cell>
          <cell r="AR24">
            <v>129.7107260165364</v>
          </cell>
          <cell r="AS24">
            <v>129.7107260165364</v>
          </cell>
          <cell r="AT24">
            <v>172.94763468871523</v>
          </cell>
        </row>
        <row r="25">
          <cell r="C25" t="str">
            <v>Rear  Roof Access Ladder fastened to rear wall</v>
          </cell>
          <cell r="D25">
            <v>5</v>
          </cell>
          <cell r="E25">
            <v>196.20000000000002</v>
          </cell>
          <cell r="F25">
            <v>98.100000000000009</v>
          </cell>
          <cell r="G25">
            <v>73.575000000000003</v>
          </cell>
          <cell r="I25">
            <v>8.8000000000000007</v>
          </cell>
          <cell r="J25" t="str">
            <v>M6</v>
          </cell>
          <cell r="K25">
            <v>17.893999999999998</v>
          </cell>
          <cell r="L25">
            <v>640</v>
          </cell>
          <cell r="M25">
            <v>320</v>
          </cell>
          <cell r="N25">
            <v>11452.16</v>
          </cell>
          <cell r="O25">
            <v>5726.08</v>
          </cell>
          <cell r="P25">
            <v>8</v>
          </cell>
          <cell r="Q25">
            <v>0</v>
          </cell>
          <cell r="R25">
            <v>0</v>
          </cell>
          <cell r="S25">
            <v>8</v>
          </cell>
          <cell r="T25">
            <v>24.525000000000002</v>
          </cell>
          <cell r="U25">
            <v>12.262500000000001</v>
          </cell>
          <cell r="V25">
            <v>9.1968750000000004</v>
          </cell>
          <cell r="W25">
            <v>466.95861365953107</v>
          </cell>
          <cell r="X25">
            <v>466.95861365953107</v>
          </cell>
          <cell r="Y25">
            <v>622.61148487937476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>
            <v>24.525000000000002</v>
          </cell>
          <cell r="AM25">
            <v>12.262500000000001</v>
          </cell>
          <cell r="AN25">
            <v>9.1968750000000004</v>
          </cell>
          <cell r="AO25" t="str">
            <v>Tensile</v>
          </cell>
          <cell r="AP25" t="str">
            <v>Shear</v>
          </cell>
          <cell r="AQ25" t="str">
            <v>Shear</v>
          </cell>
          <cell r="AR25">
            <v>466.95861365953107</v>
          </cell>
          <cell r="AS25">
            <v>466.95861365953107</v>
          </cell>
          <cell r="AT25">
            <v>622.61148487937476</v>
          </cell>
        </row>
        <row r="26">
          <cell r="C26" t="str">
            <v>Refuelling Remote Panel fastened to the Utility rack at Outdoor Facilities Area</v>
          </cell>
          <cell r="D26">
            <v>20</v>
          </cell>
          <cell r="E26">
            <v>784.80000000000007</v>
          </cell>
          <cell r="F26">
            <v>392.40000000000003</v>
          </cell>
          <cell r="G26">
            <v>294.3</v>
          </cell>
          <cell r="I26">
            <v>8.8000000000000007</v>
          </cell>
          <cell r="J26" t="str">
            <v>M6</v>
          </cell>
          <cell r="K26">
            <v>17.893999999999998</v>
          </cell>
          <cell r="L26">
            <v>640</v>
          </cell>
          <cell r="M26">
            <v>320</v>
          </cell>
          <cell r="N26">
            <v>11452.16</v>
          </cell>
          <cell r="O26">
            <v>5726.08</v>
          </cell>
          <cell r="P26">
            <v>0</v>
          </cell>
          <cell r="Q26">
            <v>0</v>
          </cell>
          <cell r="R26">
            <v>4</v>
          </cell>
          <cell r="S26">
            <v>4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>
            <v>196.20000000000002</v>
          </cell>
          <cell r="AG26">
            <v>98.100000000000009</v>
          </cell>
          <cell r="AH26">
            <v>73.575000000000003</v>
          </cell>
          <cell r="AI26">
            <v>29.184913353720692</v>
          </cell>
          <cell r="AJ26">
            <v>58.369826707441383</v>
          </cell>
          <cell r="AK26">
            <v>155.65287121984369</v>
          </cell>
          <cell r="AL26">
            <v>196.20000000000002</v>
          </cell>
          <cell r="AM26">
            <v>98.100000000000009</v>
          </cell>
          <cell r="AN26">
            <v>73.575000000000003</v>
          </cell>
          <cell r="AO26" t="str">
            <v>Shear</v>
          </cell>
          <cell r="AP26" t="str">
            <v>Shear</v>
          </cell>
          <cell r="AQ26" t="str">
            <v>Tensile</v>
          </cell>
          <cell r="AR26">
            <v>29.184913353720692</v>
          </cell>
          <cell r="AS26">
            <v>58.369826707441383</v>
          </cell>
          <cell r="AT26">
            <v>155.65287121984369</v>
          </cell>
        </row>
        <row r="27">
          <cell r="C27" t="str">
            <v>Manual Pump fastened to the Utility rack at Outdoor Facilities Area</v>
          </cell>
          <cell r="D27">
            <v>5</v>
          </cell>
          <cell r="E27">
            <v>196.20000000000002</v>
          </cell>
          <cell r="F27">
            <v>98.100000000000009</v>
          </cell>
          <cell r="G27">
            <v>73.575000000000003</v>
          </cell>
          <cell r="I27">
            <v>8.8000000000000007</v>
          </cell>
          <cell r="J27" t="str">
            <v>M6</v>
          </cell>
          <cell r="K27">
            <v>17.893999999999998</v>
          </cell>
          <cell r="L27">
            <v>640</v>
          </cell>
          <cell r="M27">
            <v>320</v>
          </cell>
          <cell r="N27">
            <v>11452.16</v>
          </cell>
          <cell r="O27">
            <v>5726.08</v>
          </cell>
          <cell r="P27">
            <v>0</v>
          </cell>
          <cell r="Q27">
            <v>0</v>
          </cell>
          <cell r="R27">
            <v>3</v>
          </cell>
          <cell r="S27">
            <v>3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>
            <v>65.400000000000006</v>
          </cell>
          <cell r="AG27">
            <v>32.700000000000003</v>
          </cell>
          <cell r="AH27">
            <v>24.525000000000002</v>
          </cell>
          <cell r="AI27">
            <v>87.554740061162065</v>
          </cell>
          <cell r="AJ27">
            <v>175.10948012232413</v>
          </cell>
          <cell r="AK27">
            <v>466.95861365953107</v>
          </cell>
          <cell r="AL27">
            <v>65.400000000000006</v>
          </cell>
          <cell r="AM27">
            <v>32.700000000000003</v>
          </cell>
          <cell r="AN27">
            <v>24.525000000000002</v>
          </cell>
          <cell r="AO27" t="str">
            <v>Shear</v>
          </cell>
          <cell r="AP27" t="str">
            <v>Shear</v>
          </cell>
          <cell r="AQ27" t="str">
            <v>Tensile</v>
          </cell>
          <cell r="AR27">
            <v>87.554740061162065</v>
          </cell>
          <cell r="AS27">
            <v>175.10948012232413</v>
          </cell>
          <cell r="AT27">
            <v>466.95861365953107</v>
          </cell>
        </row>
        <row r="28">
          <cell r="C28" t="str">
            <v>15m Pneumatic Mast (1, 2) fastened to the base structure at LOS Mast Compartment</v>
          </cell>
          <cell r="D28">
            <v>150</v>
          </cell>
          <cell r="E28">
            <v>5886</v>
          </cell>
          <cell r="F28">
            <v>2943</v>
          </cell>
          <cell r="G28">
            <v>2207.25</v>
          </cell>
          <cell r="I28">
            <v>8.8000000000000007</v>
          </cell>
          <cell r="J28" t="str">
            <v>M10</v>
          </cell>
          <cell r="K28">
            <v>52.292000000000002</v>
          </cell>
          <cell r="L28">
            <v>640</v>
          </cell>
          <cell r="M28">
            <v>320</v>
          </cell>
          <cell r="N28">
            <v>33466.880000000005</v>
          </cell>
          <cell r="O28">
            <v>16733.440000000002</v>
          </cell>
          <cell r="P28">
            <v>0</v>
          </cell>
          <cell r="Q28">
            <v>4</v>
          </cell>
          <cell r="R28">
            <v>0</v>
          </cell>
          <cell r="S28">
            <v>4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>
            <v>1471.5</v>
          </cell>
          <cell r="AA28">
            <v>735.75</v>
          </cell>
          <cell r="AB28">
            <v>551.8125</v>
          </cell>
          <cell r="AC28">
            <v>11.371688752973158</v>
          </cell>
          <cell r="AD28">
            <v>45.486755011892633</v>
          </cell>
          <cell r="AE28">
            <v>30.324503341261757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>
            <v>1471.5</v>
          </cell>
          <cell r="AM28">
            <v>735.75</v>
          </cell>
          <cell r="AN28">
            <v>551.8125</v>
          </cell>
          <cell r="AO28" t="str">
            <v>Shear</v>
          </cell>
          <cell r="AP28" t="str">
            <v>Tensile</v>
          </cell>
          <cell r="AQ28" t="str">
            <v>Shear</v>
          </cell>
          <cell r="AR28">
            <v>11.371688752973158</v>
          </cell>
          <cell r="AS28">
            <v>45.486755011892633</v>
          </cell>
          <cell r="AT28">
            <v>30.324503341261757</v>
          </cell>
        </row>
        <row r="29">
          <cell r="C29" t="str">
            <v>Mast Compressor (1, 2) fastened to the base structure at LOS Mast Compartment</v>
          </cell>
          <cell r="D29">
            <v>22</v>
          </cell>
          <cell r="E29">
            <v>863.28000000000009</v>
          </cell>
          <cell r="F29">
            <v>431.64000000000004</v>
          </cell>
          <cell r="G29">
            <v>323.73</v>
          </cell>
          <cell r="I29">
            <v>8.8000000000000007</v>
          </cell>
          <cell r="J29" t="str">
            <v>M6</v>
          </cell>
          <cell r="K29">
            <v>17.893999999999998</v>
          </cell>
          <cell r="L29">
            <v>640</v>
          </cell>
          <cell r="M29">
            <v>320</v>
          </cell>
          <cell r="N29">
            <v>11452.16</v>
          </cell>
          <cell r="O29">
            <v>5726.08</v>
          </cell>
          <cell r="P29">
            <v>0</v>
          </cell>
          <cell r="Q29">
            <v>4</v>
          </cell>
          <cell r="R29">
            <v>0</v>
          </cell>
          <cell r="S29">
            <v>4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>
            <v>215.82000000000002</v>
          </cell>
          <cell r="AA29">
            <v>107.91000000000001</v>
          </cell>
          <cell r="AB29">
            <v>80.932500000000005</v>
          </cell>
          <cell r="AC29">
            <v>26.531739412473353</v>
          </cell>
          <cell r="AD29">
            <v>106.12695764989341</v>
          </cell>
          <cell r="AE29">
            <v>70.751305099928942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>
            <v>215.82000000000002</v>
          </cell>
          <cell r="AM29">
            <v>107.91000000000001</v>
          </cell>
          <cell r="AN29">
            <v>80.932500000000005</v>
          </cell>
          <cell r="AO29" t="str">
            <v>Shear</v>
          </cell>
          <cell r="AP29" t="str">
            <v>Tensile</v>
          </cell>
          <cell r="AQ29" t="str">
            <v>Shear</v>
          </cell>
          <cell r="AR29">
            <v>26.531739412473353</v>
          </cell>
          <cell r="AS29">
            <v>106.12695764989341</v>
          </cell>
          <cell r="AT29">
            <v>70.751305099928942</v>
          </cell>
        </row>
        <row r="30">
          <cell r="C30" t="str">
            <v>EM Mast w/fixed payload (LTE Antennas &amp; Mounting) fastened to the base structure at EM mast compartment</v>
          </cell>
          <cell r="D30">
            <v>251</v>
          </cell>
          <cell r="E30">
            <v>9849.24</v>
          </cell>
          <cell r="F30">
            <v>4924.62</v>
          </cell>
          <cell r="G30">
            <v>3693.4650000000001</v>
          </cell>
          <cell r="I30">
            <v>8.8000000000000007</v>
          </cell>
          <cell r="J30" t="str">
            <v>M12</v>
          </cell>
          <cell r="K30">
            <v>76.247</v>
          </cell>
          <cell r="L30">
            <v>640</v>
          </cell>
          <cell r="M30">
            <v>320</v>
          </cell>
          <cell r="N30">
            <v>48798.080000000002</v>
          </cell>
          <cell r="O30">
            <v>24399.040000000001</v>
          </cell>
          <cell r="P30">
            <v>0</v>
          </cell>
          <cell r="Q30">
            <v>4</v>
          </cell>
          <cell r="R30">
            <v>0</v>
          </cell>
          <cell r="S30">
            <v>4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>
            <v>2462.31</v>
          </cell>
          <cell r="AA30">
            <v>1231.155</v>
          </cell>
          <cell r="AB30">
            <v>923.36625000000004</v>
          </cell>
          <cell r="AC30">
            <v>9.909004146512828</v>
          </cell>
          <cell r="AD30">
            <v>39.636016586051312</v>
          </cell>
          <cell r="AE30">
            <v>26.42401105736754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>
            <v>2462.31</v>
          </cell>
          <cell r="AM30">
            <v>1231.155</v>
          </cell>
          <cell r="AN30">
            <v>923.36625000000004</v>
          </cell>
          <cell r="AO30" t="str">
            <v>Shear</v>
          </cell>
          <cell r="AP30" t="str">
            <v>Tensile</v>
          </cell>
          <cell r="AQ30" t="str">
            <v>Shear</v>
          </cell>
          <cell r="AR30">
            <v>9.909004146512828</v>
          </cell>
          <cell r="AS30">
            <v>39.636016586051312</v>
          </cell>
          <cell r="AT30">
            <v>26.42401105736754</v>
          </cell>
        </row>
        <row r="31">
          <cell r="C31" t="str">
            <v>EM Mast Main Controller fastened to front wall</v>
          </cell>
          <cell r="D31">
            <v>5</v>
          </cell>
          <cell r="E31">
            <v>196.20000000000002</v>
          </cell>
          <cell r="F31">
            <v>98.100000000000009</v>
          </cell>
          <cell r="G31">
            <v>73.575000000000003</v>
          </cell>
          <cell r="I31">
            <v>8.8000000000000007</v>
          </cell>
          <cell r="J31" t="str">
            <v>M6</v>
          </cell>
          <cell r="K31">
            <v>17.893999999999998</v>
          </cell>
          <cell r="L31">
            <v>640</v>
          </cell>
          <cell r="M31">
            <v>320</v>
          </cell>
          <cell r="N31">
            <v>11452.16</v>
          </cell>
          <cell r="O31">
            <v>5726.08</v>
          </cell>
          <cell r="P31">
            <v>6</v>
          </cell>
          <cell r="Q31">
            <v>0</v>
          </cell>
          <cell r="R31">
            <v>0</v>
          </cell>
          <cell r="S31">
            <v>6</v>
          </cell>
          <cell r="T31">
            <v>32.700000000000003</v>
          </cell>
          <cell r="U31">
            <v>16.350000000000001</v>
          </cell>
          <cell r="V31">
            <v>12.262500000000001</v>
          </cell>
          <cell r="W31">
            <v>350.21896024464826</v>
          </cell>
          <cell r="X31">
            <v>350.21896024464826</v>
          </cell>
          <cell r="Y31">
            <v>466.95861365953107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>
            <v>32.700000000000003</v>
          </cell>
          <cell r="AM31">
            <v>16.350000000000001</v>
          </cell>
          <cell r="AN31">
            <v>12.262500000000001</v>
          </cell>
          <cell r="AO31" t="str">
            <v>Tensile</v>
          </cell>
          <cell r="AP31" t="str">
            <v>Shear</v>
          </cell>
          <cell r="AQ31" t="str">
            <v>Shear</v>
          </cell>
          <cell r="AR31">
            <v>350.21896024464826</v>
          </cell>
          <cell r="AS31">
            <v>350.21896024464826</v>
          </cell>
          <cell r="AT31">
            <v>466.95861365953107</v>
          </cell>
        </row>
        <row r="32">
          <cell r="C32" t="str">
            <v>EM Mast Handheld Remote Control fastened to front wall</v>
          </cell>
          <cell r="D32">
            <v>3</v>
          </cell>
          <cell r="E32">
            <v>117.72</v>
          </cell>
          <cell r="F32">
            <v>58.86</v>
          </cell>
          <cell r="G32">
            <v>44.144999999999996</v>
          </cell>
          <cell r="I32">
            <v>8.8000000000000007</v>
          </cell>
          <cell r="J32" t="str">
            <v>M6</v>
          </cell>
          <cell r="K32">
            <v>17.893999999999998</v>
          </cell>
          <cell r="L32">
            <v>640</v>
          </cell>
          <cell r="M32">
            <v>320</v>
          </cell>
          <cell r="N32">
            <v>11452.16</v>
          </cell>
          <cell r="O32">
            <v>5726.08</v>
          </cell>
          <cell r="P32">
            <v>4</v>
          </cell>
          <cell r="Q32">
            <v>0</v>
          </cell>
          <cell r="R32">
            <v>0</v>
          </cell>
          <cell r="S32">
            <v>4</v>
          </cell>
          <cell r="T32">
            <v>29.43</v>
          </cell>
          <cell r="U32">
            <v>14.715</v>
          </cell>
          <cell r="V32">
            <v>11.036249999999999</v>
          </cell>
          <cell r="W32">
            <v>389.13217804960925</v>
          </cell>
          <cell r="X32">
            <v>389.13217804960925</v>
          </cell>
          <cell r="Y32">
            <v>518.84290406614571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>
            <v>29.43</v>
          </cell>
          <cell r="AM32">
            <v>14.715</v>
          </cell>
          <cell r="AN32">
            <v>11.036249999999999</v>
          </cell>
          <cell r="AO32" t="str">
            <v>Tensile</v>
          </cell>
          <cell r="AP32" t="str">
            <v>Shear</v>
          </cell>
          <cell r="AQ32" t="str">
            <v>Shear</v>
          </cell>
          <cell r="AR32">
            <v>389.13217804960925</v>
          </cell>
          <cell r="AS32">
            <v>389.13217804960925</v>
          </cell>
          <cell r="AT32">
            <v>518.84290406614571</v>
          </cell>
        </row>
        <row r="33">
          <cell r="C33" t="str">
            <v>EM Mast Capacity Bank fastened to front wall</v>
          </cell>
          <cell r="D33">
            <v>10.8</v>
          </cell>
          <cell r="E33">
            <v>423.79200000000003</v>
          </cell>
          <cell r="F33">
            <v>211.89600000000002</v>
          </cell>
          <cell r="G33">
            <v>158.92200000000003</v>
          </cell>
          <cell r="I33">
            <v>8.8000000000000007</v>
          </cell>
          <cell r="J33" t="str">
            <v>M6</v>
          </cell>
          <cell r="K33">
            <v>17.893999999999998</v>
          </cell>
          <cell r="L33">
            <v>640</v>
          </cell>
          <cell r="M33">
            <v>320</v>
          </cell>
          <cell r="N33">
            <v>11452.16</v>
          </cell>
          <cell r="O33">
            <v>5726.08</v>
          </cell>
          <cell r="P33">
            <v>4</v>
          </cell>
          <cell r="Q33">
            <v>0</v>
          </cell>
          <cell r="R33">
            <v>0</v>
          </cell>
          <cell r="S33">
            <v>4</v>
          </cell>
          <cell r="T33">
            <v>105.94800000000001</v>
          </cell>
          <cell r="U33">
            <v>52.974000000000004</v>
          </cell>
          <cell r="V33">
            <v>39.730500000000006</v>
          </cell>
          <cell r="W33">
            <v>108.092271680447</v>
          </cell>
          <cell r="X33">
            <v>108.092271680447</v>
          </cell>
          <cell r="Y33">
            <v>144.12302890726266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>
            <v>105.94800000000001</v>
          </cell>
          <cell r="AM33">
            <v>52.974000000000004</v>
          </cell>
          <cell r="AN33">
            <v>39.730500000000006</v>
          </cell>
          <cell r="AO33" t="str">
            <v>Tensile</v>
          </cell>
          <cell r="AP33" t="str">
            <v>Shear</v>
          </cell>
          <cell r="AQ33" t="str">
            <v>Shear</v>
          </cell>
          <cell r="AR33">
            <v>108.092271680447</v>
          </cell>
          <cell r="AS33">
            <v>108.092271680447</v>
          </cell>
          <cell r="AT33">
            <v>144.12302890726266</v>
          </cell>
        </row>
        <row r="34">
          <cell r="C34" t="str">
            <v>Front Protective Guard fastened to the top beam at Outdoor Facilities Area</v>
          </cell>
          <cell r="D34">
            <v>6</v>
          </cell>
          <cell r="E34">
            <v>235.44</v>
          </cell>
          <cell r="F34">
            <v>117.72</v>
          </cell>
          <cell r="G34">
            <v>88.289999999999992</v>
          </cell>
          <cell r="I34">
            <v>8.8000000000000007</v>
          </cell>
          <cell r="J34" t="str">
            <v>M6</v>
          </cell>
          <cell r="K34">
            <v>17.893999999999998</v>
          </cell>
          <cell r="L34">
            <v>640</v>
          </cell>
          <cell r="M34">
            <v>320</v>
          </cell>
          <cell r="N34">
            <v>11452.16</v>
          </cell>
          <cell r="O34">
            <v>5726.08</v>
          </cell>
          <cell r="P34">
            <v>12</v>
          </cell>
          <cell r="Q34">
            <v>0</v>
          </cell>
          <cell r="R34">
            <v>0</v>
          </cell>
          <cell r="S34">
            <v>12</v>
          </cell>
          <cell r="T34">
            <v>19.62</v>
          </cell>
          <cell r="U34">
            <v>9.81</v>
          </cell>
          <cell r="V34">
            <v>7.357499999999999</v>
          </cell>
          <cell r="W34">
            <v>583.69826707441382</v>
          </cell>
          <cell r="X34">
            <v>583.69826707441382</v>
          </cell>
          <cell r="Y34">
            <v>778.26435609921862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>
            <v>19.62</v>
          </cell>
          <cell r="AM34">
            <v>9.81</v>
          </cell>
          <cell r="AN34">
            <v>7.357499999999999</v>
          </cell>
          <cell r="AO34" t="str">
            <v>Tensile</v>
          </cell>
          <cell r="AP34" t="str">
            <v>Shear</v>
          </cell>
          <cell r="AQ34" t="str">
            <v>Shear</v>
          </cell>
          <cell r="AR34">
            <v>583.69826707441382</v>
          </cell>
          <cell r="AS34">
            <v>583.69826707441382</v>
          </cell>
          <cell r="AT34">
            <v>778.26435609921862</v>
          </cell>
        </row>
        <row r="35">
          <cell r="C35" t="str">
            <v>Left Protective Guard fastened to the top beam at Outdoor Facilities Area</v>
          </cell>
          <cell r="D35">
            <v>6</v>
          </cell>
          <cell r="E35">
            <v>235.44</v>
          </cell>
          <cell r="F35">
            <v>117.72</v>
          </cell>
          <cell r="G35">
            <v>88.289999999999992</v>
          </cell>
          <cell r="I35">
            <v>8.8000000000000007</v>
          </cell>
          <cell r="J35" t="str">
            <v>M8</v>
          </cell>
          <cell r="K35">
            <v>32.841000000000001</v>
          </cell>
          <cell r="L35">
            <v>640</v>
          </cell>
          <cell r="M35">
            <v>320</v>
          </cell>
          <cell r="N35">
            <v>21018.240000000002</v>
          </cell>
          <cell r="O35">
            <v>10509.12</v>
          </cell>
          <cell r="P35">
            <v>0</v>
          </cell>
          <cell r="Q35">
            <v>0</v>
          </cell>
          <cell r="R35">
            <v>12</v>
          </cell>
          <cell r="S35">
            <v>12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>
            <v>19.62</v>
          </cell>
          <cell r="AG35">
            <v>9.81</v>
          </cell>
          <cell r="AH35">
            <v>7.357499999999999</v>
          </cell>
          <cell r="AI35">
            <v>535.63302752293578</v>
          </cell>
          <cell r="AJ35">
            <v>1071.2660550458716</v>
          </cell>
          <cell r="AK35">
            <v>2856.7094801223247</v>
          </cell>
          <cell r="AL35">
            <v>19.62</v>
          </cell>
          <cell r="AM35">
            <v>9.81</v>
          </cell>
          <cell r="AN35">
            <v>7.357499999999999</v>
          </cell>
          <cell r="AO35" t="str">
            <v>Shear</v>
          </cell>
          <cell r="AP35" t="str">
            <v>Shear</v>
          </cell>
          <cell r="AQ35" t="str">
            <v>Tensile</v>
          </cell>
          <cell r="AR35">
            <v>535.63302752293578</v>
          </cell>
          <cell r="AS35">
            <v>1071.2660550458716</v>
          </cell>
          <cell r="AT35">
            <v>2856.7094801223247</v>
          </cell>
        </row>
        <row r="36">
          <cell r="C36" t="str">
            <v>Right Protective Guard fastened to the top beam at Outdoor Facilities Area</v>
          </cell>
          <cell r="D36">
            <v>4</v>
          </cell>
          <cell r="E36">
            <v>156.96</v>
          </cell>
          <cell r="F36">
            <v>78.48</v>
          </cell>
          <cell r="G36">
            <v>58.86</v>
          </cell>
          <cell r="I36">
            <v>8.8000000000000007</v>
          </cell>
          <cell r="J36" t="str">
            <v>M8</v>
          </cell>
          <cell r="K36">
            <v>32.841000000000001</v>
          </cell>
          <cell r="L36">
            <v>640</v>
          </cell>
          <cell r="M36">
            <v>320</v>
          </cell>
          <cell r="N36">
            <v>21018.240000000002</v>
          </cell>
          <cell r="O36">
            <v>10509.12</v>
          </cell>
          <cell r="P36">
            <v>0</v>
          </cell>
          <cell r="Q36">
            <v>0</v>
          </cell>
          <cell r="R36">
            <v>8</v>
          </cell>
          <cell r="S36">
            <v>8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>
            <v>19.62</v>
          </cell>
          <cell r="AG36">
            <v>9.81</v>
          </cell>
          <cell r="AH36">
            <v>7.3574999999999999</v>
          </cell>
          <cell r="AI36">
            <v>535.63302752293578</v>
          </cell>
          <cell r="AJ36">
            <v>1071.2660550458716</v>
          </cell>
          <cell r="AK36">
            <v>2856.7094801223243</v>
          </cell>
          <cell r="AL36">
            <v>19.62</v>
          </cell>
          <cell r="AM36">
            <v>9.81</v>
          </cell>
          <cell r="AN36">
            <v>7.3574999999999999</v>
          </cell>
          <cell r="AO36" t="str">
            <v>Shear</v>
          </cell>
          <cell r="AP36" t="str">
            <v>Shear</v>
          </cell>
          <cell r="AQ36" t="str">
            <v>Tensile</v>
          </cell>
          <cell r="AR36">
            <v>535.63302752293578</v>
          </cell>
          <cell r="AS36">
            <v>1071.2660550458716</v>
          </cell>
          <cell r="AT36">
            <v>2856.7094801223243</v>
          </cell>
        </row>
        <row r="37">
          <cell r="C37" t="str">
            <v>Lower Guard Front (1, 2) fastened to the front beams at Outdoor Facilities Area</v>
          </cell>
          <cell r="D37">
            <v>3</v>
          </cell>
          <cell r="E37">
            <v>117.72</v>
          </cell>
          <cell r="F37">
            <v>58.86</v>
          </cell>
          <cell r="G37">
            <v>44.144999999999996</v>
          </cell>
          <cell r="I37">
            <v>8.8000000000000007</v>
          </cell>
          <cell r="J37" t="str">
            <v>M6</v>
          </cell>
          <cell r="K37">
            <v>17.893999999999998</v>
          </cell>
          <cell r="L37">
            <v>640</v>
          </cell>
          <cell r="M37">
            <v>320</v>
          </cell>
          <cell r="N37">
            <v>11452.16</v>
          </cell>
          <cell r="O37">
            <v>5726.08</v>
          </cell>
          <cell r="P37">
            <v>6</v>
          </cell>
          <cell r="Q37">
            <v>0</v>
          </cell>
          <cell r="R37">
            <v>0</v>
          </cell>
          <cell r="S37">
            <v>6</v>
          </cell>
          <cell r="T37">
            <v>19.62</v>
          </cell>
          <cell r="U37">
            <v>9.81</v>
          </cell>
          <cell r="V37">
            <v>7.357499999999999</v>
          </cell>
          <cell r="W37">
            <v>583.69826707441382</v>
          </cell>
          <cell r="X37">
            <v>583.69826707441382</v>
          </cell>
          <cell r="Y37">
            <v>778.26435609921862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>
            <v>19.62</v>
          </cell>
          <cell r="AM37">
            <v>9.81</v>
          </cell>
          <cell r="AN37">
            <v>7.357499999999999</v>
          </cell>
          <cell r="AO37" t="str">
            <v>Tensile</v>
          </cell>
          <cell r="AP37" t="str">
            <v>Shear</v>
          </cell>
          <cell r="AQ37" t="str">
            <v>Shear</v>
          </cell>
          <cell r="AR37">
            <v>583.69826707441382</v>
          </cell>
          <cell r="AS37">
            <v>583.69826707441382</v>
          </cell>
          <cell r="AT37">
            <v>778.26435609921862</v>
          </cell>
        </row>
        <row r="38">
          <cell r="C38" t="str">
            <v>Lower Guard Left (1, 2) &amp; Lower Guard Right fastened to the side beams at Outdoor Facilities Area</v>
          </cell>
          <cell r="D38">
            <v>3</v>
          </cell>
          <cell r="E38">
            <v>117.72</v>
          </cell>
          <cell r="F38">
            <v>58.86</v>
          </cell>
          <cell r="G38">
            <v>44.144999999999996</v>
          </cell>
          <cell r="I38">
            <v>8.8000000000000007</v>
          </cell>
          <cell r="J38" t="str">
            <v>M6</v>
          </cell>
          <cell r="K38">
            <v>17.893999999999998</v>
          </cell>
          <cell r="L38">
            <v>640</v>
          </cell>
          <cell r="M38">
            <v>320</v>
          </cell>
          <cell r="N38">
            <v>11452.16</v>
          </cell>
          <cell r="O38">
            <v>5726.08</v>
          </cell>
          <cell r="P38">
            <v>0</v>
          </cell>
          <cell r="Q38">
            <v>8</v>
          </cell>
          <cell r="R38">
            <v>0</v>
          </cell>
          <cell r="S38">
            <v>8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>
            <v>14.715</v>
          </cell>
          <cell r="AA38">
            <v>7.3574999999999999</v>
          </cell>
          <cell r="AB38">
            <v>5.5181249999999995</v>
          </cell>
          <cell r="AC38">
            <v>389.13217804960925</v>
          </cell>
          <cell r="AD38">
            <v>1556.528712198437</v>
          </cell>
          <cell r="AE38">
            <v>1037.6858081322914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>
            <v>14.715</v>
          </cell>
          <cell r="AM38">
            <v>7.3574999999999999</v>
          </cell>
          <cell r="AN38">
            <v>5.5181249999999995</v>
          </cell>
          <cell r="AO38" t="str">
            <v>Shear</v>
          </cell>
          <cell r="AP38" t="str">
            <v>Tensile</v>
          </cell>
          <cell r="AQ38" t="str">
            <v>Shear</v>
          </cell>
          <cell r="AR38">
            <v>389.13217804960925</v>
          </cell>
          <cell r="AS38">
            <v>1556.528712198437</v>
          </cell>
          <cell r="AT38">
            <v>1037.6858081322914</v>
          </cell>
        </row>
        <row r="39">
          <cell r="C39" t="str">
            <v>ODU Guard (1, 2) fastened to the left side beams at Outdoor Facilities Area</v>
          </cell>
          <cell r="D39">
            <v>4</v>
          </cell>
          <cell r="E39">
            <v>156.96</v>
          </cell>
          <cell r="F39">
            <v>78.48</v>
          </cell>
          <cell r="G39">
            <v>58.86</v>
          </cell>
          <cell r="I39">
            <v>8.8000000000000007</v>
          </cell>
          <cell r="J39" t="str">
            <v>M6</v>
          </cell>
          <cell r="K39">
            <v>17.893999999999998</v>
          </cell>
          <cell r="L39">
            <v>640</v>
          </cell>
          <cell r="M39">
            <v>320</v>
          </cell>
          <cell r="N39">
            <v>11452.16</v>
          </cell>
          <cell r="O39">
            <v>5726.08</v>
          </cell>
          <cell r="P39">
            <v>0</v>
          </cell>
          <cell r="Q39">
            <v>0</v>
          </cell>
          <cell r="R39">
            <v>6</v>
          </cell>
          <cell r="S39">
            <v>6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>
            <v>26.16</v>
          </cell>
          <cell r="AG39">
            <v>13.08</v>
          </cell>
          <cell r="AH39">
            <v>9.81</v>
          </cell>
          <cell r="AI39">
            <v>218.8868501529052</v>
          </cell>
          <cell r="AJ39">
            <v>437.77370030581039</v>
          </cell>
          <cell r="AK39">
            <v>1167.3965341488276</v>
          </cell>
          <cell r="AL39">
            <v>26.16</v>
          </cell>
          <cell r="AM39">
            <v>13.08</v>
          </cell>
          <cell r="AN39">
            <v>9.81</v>
          </cell>
          <cell r="AO39" t="str">
            <v>Shear</v>
          </cell>
          <cell r="AP39" t="str">
            <v>Shear</v>
          </cell>
          <cell r="AQ39" t="str">
            <v>Tensile</v>
          </cell>
          <cell r="AR39">
            <v>218.8868501529052</v>
          </cell>
          <cell r="AS39">
            <v>437.77370030581039</v>
          </cell>
          <cell r="AT39">
            <v>1167.3965341488276</v>
          </cell>
        </row>
        <row r="40">
          <cell r="C40" t="str">
            <v>LTE Antenna Big (1,2,3) fastened on top of the EM mast</v>
          </cell>
          <cell r="D40">
            <v>7</v>
          </cell>
          <cell r="E40">
            <v>274.68</v>
          </cell>
          <cell r="F40">
            <v>137.34</v>
          </cell>
          <cell r="G40">
            <v>103.005</v>
          </cell>
          <cell r="I40">
            <v>8.8000000000000007</v>
          </cell>
          <cell r="J40" t="str">
            <v>M8</v>
          </cell>
          <cell r="K40">
            <v>32.841000000000001</v>
          </cell>
          <cell r="L40">
            <v>640</v>
          </cell>
          <cell r="M40">
            <v>320</v>
          </cell>
          <cell r="N40">
            <v>21018.240000000002</v>
          </cell>
          <cell r="O40">
            <v>10509.12</v>
          </cell>
          <cell r="P40">
            <v>0</v>
          </cell>
          <cell r="Q40">
            <v>0</v>
          </cell>
          <cell r="R40">
            <v>4</v>
          </cell>
          <cell r="S40">
            <v>4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>
            <v>68.67</v>
          </cell>
          <cell r="AG40">
            <v>34.335000000000001</v>
          </cell>
          <cell r="AH40">
            <v>25.751249999999999</v>
          </cell>
          <cell r="AI40">
            <v>153.03800786369595</v>
          </cell>
          <cell r="AJ40">
            <v>306.0760157273919</v>
          </cell>
          <cell r="AK40">
            <v>816.20270860637845</v>
          </cell>
          <cell r="AL40">
            <v>68.67</v>
          </cell>
          <cell r="AM40">
            <v>34.335000000000001</v>
          </cell>
          <cell r="AN40">
            <v>25.751249999999999</v>
          </cell>
          <cell r="AO40" t="str">
            <v>Shear</v>
          </cell>
          <cell r="AP40" t="str">
            <v>Shear</v>
          </cell>
          <cell r="AQ40" t="str">
            <v>Tensile</v>
          </cell>
          <cell r="AR40">
            <v>153.03800786369595</v>
          </cell>
          <cell r="AS40">
            <v>306.0760157273919</v>
          </cell>
          <cell r="AT40">
            <v>816.20270860637845</v>
          </cell>
        </row>
        <row r="41">
          <cell r="C41" t="str">
            <v>LTE Antenna Small (1,2,3) fastened on top of the EM mast</v>
          </cell>
          <cell r="D41">
            <v>2.8</v>
          </cell>
          <cell r="E41">
            <v>109.872</v>
          </cell>
          <cell r="F41">
            <v>54.936</v>
          </cell>
          <cell r="G41">
            <v>41.201999999999998</v>
          </cell>
          <cell r="I41">
            <v>8.8000000000000007</v>
          </cell>
          <cell r="J41" t="str">
            <v>M8</v>
          </cell>
          <cell r="K41">
            <v>32.841000000000001</v>
          </cell>
          <cell r="L41">
            <v>640</v>
          </cell>
          <cell r="M41">
            <v>320</v>
          </cell>
          <cell r="N41">
            <v>21018.240000000002</v>
          </cell>
          <cell r="O41">
            <v>10509.12</v>
          </cell>
          <cell r="P41">
            <v>0</v>
          </cell>
          <cell r="Q41">
            <v>0</v>
          </cell>
          <cell r="R41">
            <v>4</v>
          </cell>
          <cell r="S41">
            <v>4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>
            <v>27.468</v>
          </cell>
          <cell r="AG41">
            <v>13.734</v>
          </cell>
          <cell r="AH41">
            <v>10.3005</v>
          </cell>
          <cell r="AI41">
            <v>382.59501965923988</v>
          </cell>
          <cell r="AJ41">
            <v>765.19003931847976</v>
          </cell>
          <cell r="AK41">
            <v>2040.5067715159462</v>
          </cell>
          <cell r="AL41">
            <v>27.468</v>
          </cell>
          <cell r="AM41">
            <v>13.734</v>
          </cell>
          <cell r="AN41">
            <v>10.3005</v>
          </cell>
          <cell r="AO41" t="str">
            <v>Shear</v>
          </cell>
          <cell r="AP41" t="str">
            <v>Shear</v>
          </cell>
          <cell r="AQ41" t="str">
            <v>Tensile</v>
          </cell>
          <cell r="AR41">
            <v>382.59501965923988</v>
          </cell>
          <cell r="AS41">
            <v>765.19003931847976</v>
          </cell>
          <cell r="AT41">
            <v>2040.5067715159462</v>
          </cell>
        </row>
        <row r="42">
          <cell r="C42" t="str">
            <v>LTE Antenna Mounting w/ LTE Antennas fastened on top of the EM mast</v>
          </cell>
          <cell r="D42">
            <v>91</v>
          </cell>
          <cell r="E42">
            <v>3570.84</v>
          </cell>
          <cell r="F42">
            <v>1785.42</v>
          </cell>
          <cell r="G42">
            <v>1339.0650000000001</v>
          </cell>
          <cell r="I42">
            <v>8.8000000000000007</v>
          </cell>
          <cell r="J42" t="str">
            <v>1/4-20</v>
          </cell>
          <cell r="K42">
            <v>21.711908771848677</v>
          </cell>
          <cell r="L42">
            <v>640</v>
          </cell>
          <cell r="M42">
            <v>320</v>
          </cell>
          <cell r="N42">
            <v>13895.621613983152</v>
          </cell>
          <cell r="O42">
            <v>6947.8108069915761</v>
          </cell>
          <cell r="P42">
            <v>0</v>
          </cell>
          <cell r="Q42">
            <v>6</v>
          </cell>
          <cell r="R42">
            <v>0</v>
          </cell>
          <cell r="S42">
            <v>6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>
            <v>595.14</v>
          </cell>
          <cell r="AA42">
            <v>297.57</v>
          </cell>
          <cell r="AB42">
            <v>223.17750000000001</v>
          </cell>
          <cell r="AC42">
            <v>11.67424607149843</v>
          </cell>
          <cell r="AD42">
            <v>46.696984285993722</v>
          </cell>
          <cell r="AE42">
            <v>31.131322857329149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>
            <v>595.14</v>
          </cell>
          <cell r="AM42">
            <v>297.57</v>
          </cell>
          <cell r="AN42">
            <v>223.17750000000001</v>
          </cell>
          <cell r="AO42" t="str">
            <v>Shear</v>
          </cell>
          <cell r="AP42" t="str">
            <v>Tensile</v>
          </cell>
          <cell r="AQ42" t="str">
            <v>Shear</v>
          </cell>
          <cell r="AR42">
            <v>11.67424607149843</v>
          </cell>
          <cell r="AS42">
            <v>46.696984285993722</v>
          </cell>
          <cell r="AT42">
            <v>31.131322857329149</v>
          </cell>
        </row>
        <row r="43">
          <cell r="C43" t="str">
            <v>FRAA (1,2,3) fastened to front wall</v>
          </cell>
          <cell r="D43">
            <v>16.2</v>
          </cell>
          <cell r="E43">
            <v>635.68799999999999</v>
          </cell>
          <cell r="F43">
            <v>317.84399999999999</v>
          </cell>
          <cell r="G43">
            <v>238.38299999999998</v>
          </cell>
          <cell r="I43">
            <v>8.8000000000000007</v>
          </cell>
          <cell r="J43" t="str">
            <v>M8</v>
          </cell>
          <cell r="K43">
            <v>32.841000000000001</v>
          </cell>
          <cell r="L43">
            <v>640</v>
          </cell>
          <cell r="M43">
            <v>320</v>
          </cell>
          <cell r="N43">
            <v>21018.240000000002</v>
          </cell>
          <cell r="O43">
            <v>10509.12</v>
          </cell>
          <cell r="P43">
            <v>4</v>
          </cell>
          <cell r="Q43">
            <v>0</v>
          </cell>
          <cell r="R43">
            <v>0</v>
          </cell>
          <cell r="S43">
            <v>4</v>
          </cell>
          <cell r="T43">
            <v>158.922</v>
          </cell>
          <cell r="U43">
            <v>79.460999999999999</v>
          </cell>
          <cell r="V43">
            <v>59.595749999999995</v>
          </cell>
          <cell r="W43">
            <v>132.2550685241817</v>
          </cell>
          <cell r="X43">
            <v>132.2550685241817</v>
          </cell>
          <cell r="Y43">
            <v>176.3400913655756</v>
          </cell>
          <cell r="Z43" t="str">
            <v>0</v>
          </cell>
          <cell r="AA43" t="str">
            <v>0</v>
          </cell>
          <cell r="AB43" t="str">
            <v>0</v>
          </cell>
          <cell r="AC43" t="str">
            <v>0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>
            <v>158.922</v>
          </cell>
          <cell r="AM43">
            <v>79.460999999999999</v>
          </cell>
          <cell r="AN43">
            <v>59.595749999999995</v>
          </cell>
          <cell r="AO43" t="str">
            <v>Tensile</v>
          </cell>
          <cell r="AP43" t="str">
            <v>Shear</v>
          </cell>
          <cell r="AQ43" t="str">
            <v>Shear</v>
          </cell>
          <cell r="AR43">
            <v>132.2550685241817</v>
          </cell>
          <cell r="AS43">
            <v>132.2550685241817</v>
          </cell>
          <cell r="AT43">
            <v>176.3400913655756</v>
          </cell>
        </row>
        <row r="44">
          <cell r="C44" t="str">
            <v>AHCF (1,2) fastened to front wall</v>
          </cell>
          <cell r="D44">
            <v>19.2</v>
          </cell>
          <cell r="E44">
            <v>753.40800000000002</v>
          </cell>
          <cell r="F44">
            <v>376.70400000000001</v>
          </cell>
          <cell r="G44">
            <v>282.52800000000002</v>
          </cell>
          <cell r="I44">
            <v>8.8000000000000007</v>
          </cell>
          <cell r="J44" t="str">
            <v>M8</v>
          </cell>
          <cell r="K44">
            <v>32.841000000000001</v>
          </cell>
          <cell r="L44">
            <v>640</v>
          </cell>
          <cell r="M44">
            <v>320</v>
          </cell>
          <cell r="N44">
            <v>21018.240000000002</v>
          </cell>
          <cell r="O44">
            <v>10509.12</v>
          </cell>
          <cell r="P44">
            <v>4</v>
          </cell>
          <cell r="Q44">
            <v>0</v>
          </cell>
          <cell r="R44">
            <v>0</v>
          </cell>
          <cell r="S44">
            <v>4</v>
          </cell>
          <cell r="T44">
            <v>188.352</v>
          </cell>
          <cell r="U44">
            <v>94.176000000000002</v>
          </cell>
          <cell r="V44">
            <v>70.632000000000005</v>
          </cell>
          <cell r="W44">
            <v>111.5902140672783</v>
          </cell>
          <cell r="X44">
            <v>111.5902140672783</v>
          </cell>
          <cell r="Y44">
            <v>148.78695208970439</v>
          </cell>
          <cell r="Z44" t="str">
            <v>0</v>
          </cell>
          <cell r="AA44" t="str">
            <v>0</v>
          </cell>
          <cell r="AB44" t="str">
            <v>0</v>
          </cell>
          <cell r="AC44" t="str">
            <v>0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 t="str">
            <v>0</v>
          </cell>
          <cell r="AJ44" t="str">
            <v>0</v>
          </cell>
          <cell r="AK44" t="str">
            <v>0</v>
          </cell>
          <cell r="AL44">
            <v>188.352</v>
          </cell>
          <cell r="AM44">
            <v>94.176000000000002</v>
          </cell>
          <cell r="AN44">
            <v>70.632000000000005</v>
          </cell>
          <cell r="AO44" t="str">
            <v>Tensile</v>
          </cell>
          <cell r="AP44" t="str">
            <v>Shear</v>
          </cell>
          <cell r="AQ44" t="str">
            <v>Shear</v>
          </cell>
          <cell r="AR44">
            <v>111.5902140672783</v>
          </cell>
          <cell r="AS44">
            <v>111.5902140672783</v>
          </cell>
          <cell r="AT44">
            <v>148.78695208970439</v>
          </cell>
        </row>
        <row r="45">
          <cell r="C45" t="str">
            <v>AHCF Filter (1,2,3) fastened to front wall</v>
          </cell>
          <cell r="D45">
            <v>7</v>
          </cell>
          <cell r="E45">
            <v>274.68</v>
          </cell>
          <cell r="F45">
            <v>137.34</v>
          </cell>
          <cell r="G45">
            <v>103.005</v>
          </cell>
          <cell r="I45">
            <v>8.8000000000000007</v>
          </cell>
          <cell r="J45" t="str">
            <v>M8</v>
          </cell>
          <cell r="K45">
            <v>32.841000000000001</v>
          </cell>
          <cell r="L45">
            <v>640</v>
          </cell>
          <cell r="M45">
            <v>320</v>
          </cell>
          <cell r="N45">
            <v>21018.240000000002</v>
          </cell>
          <cell r="O45">
            <v>10509.12</v>
          </cell>
          <cell r="P45">
            <v>4</v>
          </cell>
          <cell r="Q45">
            <v>0</v>
          </cell>
          <cell r="R45">
            <v>0</v>
          </cell>
          <cell r="S45">
            <v>4</v>
          </cell>
          <cell r="T45">
            <v>68.67</v>
          </cell>
          <cell r="U45">
            <v>34.335000000000001</v>
          </cell>
          <cell r="V45">
            <v>25.751249999999999</v>
          </cell>
          <cell r="W45">
            <v>306.0760157273919</v>
          </cell>
          <cell r="X45">
            <v>306.0760157273919</v>
          </cell>
          <cell r="Y45">
            <v>408.10135430318923</v>
          </cell>
          <cell r="Z45" t="str">
            <v>0</v>
          </cell>
          <cell r="AA45" t="str">
            <v>0</v>
          </cell>
          <cell r="AB45" t="str">
            <v>0</v>
          </cell>
          <cell r="AC45" t="str">
            <v>0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>
            <v>68.67</v>
          </cell>
          <cell r="AM45">
            <v>34.335000000000001</v>
          </cell>
          <cell r="AN45">
            <v>25.751249999999999</v>
          </cell>
          <cell r="AO45" t="str">
            <v>Tensile</v>
          </cell>
          <cell r="AP45" t="str">
            <v>Shear</v>
          </cell>
          <cell r="AQ45" t="str">
            <v>Shear</v>
          </cell>
          <cell r="AR45">
            <v>306.0760157273919</v>
          </cell>
          <cell r="AS45">
            <v>306.0760157273919</v>
          </cell>
          <cell r="AT45">
            <v>408.10135430318923</v>
          </cell>
        </row>
        <row r="46">
          <cell r="C46" t="str">
            <v>LTE Cable Drum fastened to the floor at EM Mast Compartment</v>
          </cell>
          <cell r="D46">
            <v>60</v>
          </cell>
          <cell r="E46">
            <v>2354.4</v>
          </cell>
          <cell r="F46">
            <v>1177.2</v>
          </cell>
          <cell r="G46">
            <v>882.90000000000009</v>
          </cell>
          <cell r="I46">
            <v>8.8000000000000007</v>
          </cell>
          <cell r="J46" t="str">
            <v>M8</v>
          </cell>
          <cell r="K46">
            <v>32.841000000000001</v>
          </cell>
          <cell r="L46">
            <v>640</v>
          </cell>
          <cell r="M46">
            <v>320</v>
          </cell>
          <cell r="N46">
            <v>21018.240000000002</v>
          </cell>
          <cell r="O46">
            <v>10509.12</v>
          </cell>
          <cell r="P46">
            <v>0</v>
          </cell>
          <cell r="Q46">
            <v>4</v>
          </cell>
          <cell r="R46">
            <v>0</v>
          </cell>
          <cell r="S46">
            <v>4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>
            <v>588.6</v>
          </cell>
          <cell r="AA46">
            <v>294.3</v>
          </cell>
          <cell r="AB46">
            <v>220.72500000000002</v>
          </cell>
          <cell r="AC46">
            <v>17.854434250764527</v>
          </cell>
          <cell r="AD46">
            <v>71.417737003058107</v>
          </cell>
          <cell r="AE46">
            <v>47.611824668705403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>
            <v>588.6</v>
          </cell>
          <cell r="AM46">
            <v>294.3</v>
          </cell>
          <cell r="AN46">
            <v>220.72500000000002</v>
          </cell>
          <cell r="AO46" t="str">
            <v>Shear</v>
          </cell>
          <cell r="AP46" t="str">
            <v>Tensile</v>
          </cell>
          <cell r="AQ46" t="str">
            <v>Shear</v>
          </cell>
          <cell r="AR46">
            <v>17.854434250764527</v>
          </cell>
          <cell r="AS46">
            <v>71.417737003058107</v>
          </cell>
          <cell r="AT46">
            <v>47.611824668705403</v>
          </cell>
        </row>
        <row r="47">
          <cell r="C47" t="str">
            <v>GPS fastened to the front wall at EM Mast Compartment</v>
          </cell>
          <cell r="D47">
            <v>2</v>
          </cell>
          <cell r="E47">
            <v>78.48</v>
          </cell>
          <cell r="F47">
            <v>39.24</v>
          </cell>
          <cell r="G47">
            <v>29.43</v>
          </cell>
          <cell r="I47">
            <v>8.8000000000000007</v>
          </cell>
          <cell r="J47" t="str">
            <v>M6</v>
          </cell>
          <cell r="K47">
            <v>17.893999999999998</v>
          </cell>
          <cell r="L47">
            <v>640</v>
          </cell>
          <cell r="M47">
            <v>320</v>
          </cell>
          <cell r="N47">
            <v>11452.16</v>
          </cell>
          <cell r="O47">
            <v>5726.08</v>
          </cell>
          <cell r="P47">
            <v>2</v>
          </cell>
          <cell r="Q47">
            <v>0</v>
          </cell>
          <cell r="R47">
            <v>0</v>
          </cell>
          <cell r="S47">
            <v>2</v>
          </cell>
          <cell r="T47">
            <v>39.24</v>
          </cell>
          <cell r="U47">
            <v>19.62</v>
          </cell>
          <cell r="V47">
            <v>14.715</v>
          </cell>
          <cell r="W47">
            <v>291.84913353720691</v>
          </cell>
          <cell r="X47">
            <v>291.84913353720691</v>
          </cell>
          <cell r="Y47">
            <v>389.13217804960925</v>
          </cell>
          <cell r="Z47" t="str">
            <v>0</v>
          </cell>
          <cell r="AA47" t="str">
            <v>0</v>
          </cell>
          <cell r="AB47" t="str">
            <v>0</v>
          </cell>
          <cell r="AC47" t="str">
            <v>0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 t="str">
            <v>0</v>
          </cell>
          <cell r="AJ47" t="str">
            <v>0</v>
          </cell>
          <cell r="AK47" t="str">
            <v>0</v>
          </cell>
          <cell r="AL47">
            <v>39.24</v>
          </cell>
          <cell r="AM47">
            <v>19.62</v>
          </cell>
          <cell r="AN47">
            <v>14.715</v>
          </cell>
          <cell r="AO47" t="str">
            <v>Tensile</v>
          </cell>
          <cell r="AP47" t="str">
            <v>Shear</v>
          </cell>
          <cell r="AQ47" t="str">
            <v>Shear</v>
          </cell>
          <cell r="AR47">
            <v>291.84913353720691</v>
          </cell>
          <cell r="AS47">
            <v>291.84913353720691</v>
          </cell>
          <cell r="AT47">
            <v>389.13217804960925</v>
          </cell>
        </row>
        <row r="48">
          <cell r="C48" t="str">
            <v>4 Gang Racks with Mounting Plate and Shock Mount fastened to the floor at Equipment Room</v>
          </cell>
          <cell r="D48">
            <v>850</v>
          </cell>
          <cell r="E48">
            <v>33354</v>
          </cell>
          <cell r="F48">
            <v>16677</v>
          </cell>
          <cell r="G48">
            <v>12507.75</v>
          </cell>
          <cell r="I48">
            <v>8.8000000000000007</v>
          </cell>
          <cell r="J48" t="str">
            <v>M6</v>
          </cell>
          <cell r="K48">
            <v>17.893999999999998</v>
          </cell>
          <cell r="L48">
            <v>640</v>
          </cell>
          <cell r="M48">
            <v>320</v>
          </cell>
          <cell r="N48">
            <v>11452.16</v>
          </cell>
          <cell r="O48">
            <v>5726.08</v>
          </cell>
          <cell r="P48">
            <v>0</v>
          </cell>
          <cell r="Q48">
            <v>24</v>
          </cell>
          <cell r="R48">
            <v>0</v>
          </cell>
          <cell r="S48">
            <v>24</v>
          </cell>
          <cell r="T48" t="str">
            <v>0</v>
          </cell>
          <cell r="U48" t="str">
            <v>0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>
            <v>1389.75</v>
          </cell>
          <cell r="AA48">
            <v>694.875</v>
          </cell>
          <cell r="AB48">
            <v>521.15625</v>
          </cell>
          <cell r="AC48">
            <v>4.1202230617017452</v>
          </cell>
          <cell r="AD48">
            <v>16.480892246806981</v>
          </cell>
          <cell r="AE48">
            <v>10.987261497871319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>
            <v>1389.75</v>
          </cell>
          <cell r="AM48">
            <v>694.875</v>
          </cell>
          <cell r="AN48">
            <v>521.15625</v>
          </cell>
          <cell r="AO48" t="str">
            <v>Shear</v>
          </cell>
          <cell r="AP48" t="str">
            <v>Tensile</v>
          </cell>
          <cell r="AQ48" t="str">
            <v>Shear</v>
          </cell>
          <cell r="AR48">
            <v>4.1202230617017452</v>
          </cell>
          <cell r="AS48">
            <v>16.480892246806981</v>
          </cell>
          <cell r="AT48">
            <v>10.987261497871319</v>
          </cell>
        </row>
        <row r="49">
          <cell r="C49" t="str">
            <v>Power Entry Panel fastened to utility rack at the kerbside</v>
          </cell>
          <cell r="D49">
            <v>15</v>
          </cell>
          <cell r="E49">
            <v>588.6</v>
          </cell>
          <cell r="F49">
            <v>294.3</v>
          </cell>
          <cell r="G49">
            <v>220.72500000000002</v>
          </cell>
          <cell r="I49">
            <v>8.8000000000000007</v>
          </cell>
          <cell r="J49" t="str">
            <v>M6</v>
          </cell>
          <cell r="K49">
            <v>17.893999999999998</v>
          </cell>
          <cell r="L49">
            <v>640</v>
          </cell>
          <cell r="M49">
            <v>320</v>
          </cell>
          <cell r="N49">
            <v>11452.16</v>
          </cell>
          <cell r="O49">
            <v>5726.08</v>
          </cell>
          <cell r="P49">
            <v>0</v>
          </cell>
          <cell r="Q49">
            <v>0</v>
          </cell>
          <cell r="R49">
            <v>16</v>
          </cell>
          <cell r="S49">
            <v>16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  <cell r="AB49" t="str">
            <v>0</v>
          </cell>
          <cell r="AC49" t="str">
            <v>0</v>
          </cell>
          <cell r="AD49" t="str">
            <v>0</v>
          </cell>
          <cell r="AE49" t="str">
            <v>0</v>
          </cell>
          <cell r="AF49">
            <v>36.787500000000001</v>
          </cell>
          <cell r="AG49">
            <v>18.393750000000001</v>
          </cell>
          <cell r="AH49">
            <v>13.795312500000001</v>
          </cell>
          <cell r="AI49">
            <v>155.65287121984369</v>
          </cell>
          <cell r="AJ49">
            <v>311.30574243968738</v>
          </cell>
          <cell r="AK49">
            <v>830.14864650583297</v>
          </cell>
          <cell r="AL49">
            <v>36.787500000000001</v>
          </cell>
          <cell r="AM49">
            <v>18.393750000000001</v>
          </cell>
          <cell r="AN49">
            <v>13.795312500000001</v>
          </cell>
          <cell r="AO49" t="str">
            <v>Shear</v>
          </cell>
          <cell r="AP49" t="str">
            <v>Shear</v>
          </cell>
          <cell r="AQ49" t="str">
            <v>Tensile</v>
          </cell>
          <cell r="AR49">
            <v>155.65287121984369</v>
          </cell>
          <cell r="AS49">
            <v>311.30574243968738</v>
          </cell>
          <cell r="AT49">
            <v>830.14864650583297</v>
          </cell>
        </row>
        <row r="50">
          <cell r="C50" t="str">
            <v>Signal Entry Panel fastened to the left wall</v>
          </cell>
          <cell r="D50">
            <v>5</v>
          </cell>
          <cell r="E50">
            <v>196.20000000000002</v>
          </cell>
          <cell r="F50">
            <v>98.100000000000009</v>
          </cell>
          <cell r="G50">
            <v>73.575000000000003</v>
          </cell>
          <cell r="I50">
            <v>8.8000000000000007</v>
          </cell>
          <cell r="J50" t="str">
            <v>M6</v>
          </cell>
          <cell r="K50">
            <v>17.893999999999998</v>
          </cell>
          <cell r="L50">
            <v>640</v>
          </cell>
          <cell r="M50">
            <v>320</v>
          </cell>
          <cell r="N50">
            <v>11452.16</v>
          </cell>
          <cell r="O50">
            <v>5726.08</v>
          </cell>
          <cell r="P50">
            <v>0</v>
          </cell>
          <cell r="Q50">
            <v>0</v>
          </cell>
          <cell r="R50">
            <v>16</v>
          </cell>
          <cell r="S50">
            <v>16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  <cell r="AB50" t="str">
            <v>0</v>
          </cell>
          <cell r="AC50" t="str">
            <v>0</v>
          </cell>
          <cell r="AD50" t="str">
            <v>0</v>
          </cell>
          <cell r="AE50" t="str">
            <v>0</v>
          </cell>
          <cell r="AF50">
            <v>12.262500000000001</v>
          </cell>
          <cell r="AG50">
            <v>6.1312500000000005</v>
          </cell>
          <cell r="AH50">
            <v>4.5984375000000002</v>
          </cell>
          <cell r="AI50">
            <v>466.95861365953107</v>
          </cell>
          <cell r="AJ50">
            <v>933.91722731906214</v>
          </cell>
          <cell r="AK50">
            <v>2490.445939517499</v>
          </cell>
          <cell r="AL50">
            <v>12.262500000000001</v>
          </cell>
          <cell r="AM50">
            <v>6.1312500000000005</v>
          </cell>
          <cell r="AN50">
            <v>4.5984375000000002</v>
          </cell>
          <cell r="AO50" t="str">
            <v>Shear</v>
          </cell>
          <cell r="AP50" t="str">
            <v>Shear</v>
          </cell>
          <cell r="AQ50" t="str">
            <v>Tensile</v>
          </cell>
          <cell r="AR50">
            <v>466.95861365953107</v>
          </cell>
          <cell r="AS50">
            <v>933.91722731906214</v>
          </cell>
          <cell r="AT50">
            <v>2490.445939517499</v>
          </cell>
        </row>
        <row r="51">
          <cell r="C51" t="str">
            <v>Antenna Entry Panel fastened to the front wall</v>
          </cell>
          <cell r="D51">
            <v>5</v>
          </cell>
          <cell r="E51">
            <v>196.20000000000002</v>
          </cell>
          <cell r="F51">
            <v>98.100000000000009</v>
          </cell>
          <cell r="G51">
            <v>73.575000000000003</v>
          </cell>
          <cell r="I51">
            <v>8.8000000000000007</v>
          </cell>
          <cell r="J51" t="str">
            <v>M6</v>
          </cell>
          <cell r="K51">
            <v>17.893999999999998</v>
          </cell>
          <cell r="L51">
            <v>640</v>
          </cell>
          <cell r="M51">
            <v>320</v>
          </cell>
          <cell r="N51">
            <v>11452.16</v>
          </cell>
          <cell r="O51">
            <v>5726.08</v>
          </cell>
          <cell r="P51">
            <v>8</v>
          </cell>
          <cell r="Q51">
            <v>0</v>
          </cell>
          <cell r="R51">
            <v>0</v>
          </cell>
          <cell r="S51">
            <v>8</v>
          </cell>
          <cell r="T51">
            <v>24.525000000000002</v>
          </cell>
          <cell r="U51">
            <v>12.262500000000001</v>
          </cell>
          <cell r="V51">
            <v>9.1968750000000004</v>
          </cell>
          <cell r="W51">
            <v>466.95861365953107</v>
          </cell>
          <cell r="X51">
            <v>466.95861365953107</v>
          </cell>
          <cell r="Y51">
            <v>622.61148487937476</v>
          </cell>
          <cell r="Z51" t="str">
            <v>0</v>
          </cell>
          <cell r="AA51" t="str">
            <v>0</v>
          </cell>
          <cell r="AB51" t="str">
            <v>0</v>
          </cell>
          <cell r="AC51" t="str">
            <v>0</v>
          </cell>
          <cell r="AD51" t="str">
            <v>0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>
            <v>24.525000000000002</v>
          </cell>
          <cell r="AM51">
            <v>12.262500000000001</v>
          </cell>
          <cell r="AN51">
            <v>9.1968750000000004</v>
          </cell>
          <cell r="AO51" t="str">
            <v>Tensile</v>
          </cell>
          <cell r="AP51" t="str">
            <v>Shear</v>
          </cell>
          <cell r="AQ51" t="str">
            <v>Shear</v>
          </cell>
          <cell r="AR51">
            <v>466.95861365953107</v>
          </cell>
          <cell r="AS51">
            <v>466.95861365953107</v>
          </cell>
          <cell r="AT51">
            <v>622.61148487937476</v>
          </cell>
        </row>
        <row r="52">
          <cell r="C52" t="str">
            <v>Water Jerry Cans (3x) strap to its storage that fastened to the floor in the Operation Area</v>
          </cell>
          <cell r="D52">
            <v>60</v>
          </cell>
          <cell r="E52">
            <v>2354.4</v>
          </cell>
          <cell r="F52">
            <v>1177.2</v>
          </cell>
          <cell r="G52">
            <v>882.90000000000009</v>
          </cell>
          <cell r="I52" t="str">
            <v>Camlock Strap (1")</v>
          </cell>
          <cell r="J52" t="str">
            <v>Camlock Strap (1")</v>
          </cell>
          <cell r="K52">
            <v>1</v>
          </cell>
          <cell r="L52">
            <v>2500</v>
          </cell>
          <cell r="M52">
            <v>2500</v>
          </cell>
          <cell r="N52">
            <v>2500</v>
          </cell>
          <cell r="O52">
            <v>2500</v>
          </cell>
          <cell r="P52">
            <v>0</v>
          </cell>
          <cell r="Q52">
            <v>1</v>
          </cell>
          <cell r="R52">
            <v>0</v>
          </cell>
          <cell r="S52">
            <v>1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>
            <v>2354.4</v>
          </cell>
          <cell r="AA52">
            <v>1177.2</v>
          </cell>
          <cell r="AB52">
            <v>882.90000000000009</v>
          </cell>
          <cell r="AC52">
            <v>1.0618416581719334</v>
          </cell>
          <cell r="AD52">
            <v>2.1236833163438669</v>
          </cell>
          <cell r="AE52">
            <v>2.8315777551251555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>
            <v>2354.4</v>
          </cell>
          <cell r="AM52">
            <v>1177.2</v>
          </cell>
          <cell r="AN52">
            <v>882.90000000000009</v>
          </cell>
          <cell r="AO52" t="str">
            <v>Shear</v>
          </cell>
          <cell r="AP52" t="str">
            <v>Tensile</v>
          </cell>
          <cell r="AQ52" t="str">
            <v>Shear</v>
          </cell>
          <cell r="AR52">
            <v>1.0618416581719334</v>
          </cell>
          <cell r="AS52">
            <v>2.1236833163438669</v>
          </cell>
          <cell r="AT52">
            <v>2.8315777551251555</v>
          </cell>
        </row>
        <row r="53">
          <cell r="C53" t="str">
            <v>LOS Antenna (1 ) fastened to the left wall</v>
          </cell>
          <cell r="D53">
            <v>15</v>
          </cell>
          <cell r="E53">
            <v>588.6</v>
          </cell>
          <cell r="F53">
            <v>294.3</v>
          </cell>
          <cell r="G53">
            <v>220.72500000000002</v>
          </cell>
          <cell r="I53">
            <v>8.8000000000000007</v>
          </cell>
          <cell r="J53" t="str">
            <v>M6</v>
          </cell>
          <cell r="K53">
            <v>17.893999999999998</v>
          </cell>
          <cell r="L53">
            <v>640</v>
          </cell>
          <cell r="M53">
            <v>320</v>
          </cell>
          <cell r="N53">
            <v>11452.16</v>
          </cell>
          <cell r="O53">
            <v>5726.08</v>
          </cell>
          <cell r="P53">
            <v>0</v>
          </cell>
          <cell r="Q53">
            <v>0</v>
          </cell>
          <cell r="R53">
            <v>4</v>
          </cell>
          <cell r="S53">
            <v>4</v>
          </cell>
          <cell r="T53" t="str">
            <v>0</v>
          </cell>
          <cell r="U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  <cell r="AB53" t="str">
            <v>0</v>
          </cell>
          <cell r="AC53" t="str">
            <v>0</v>
          </cell>
          <cell r="AD53" t="str">
            <v>0</v>
          </cell>
          <cell r="AE53" t="str">
            <v>0</v>
          </cell>
          <cell r="AF53">
            <v>147.15</v>
          </cell>
          <cell r="AG53">
            <v>73.575000000000003</v>
          </cell>
          <cell r="AH53">
            <v>55.181250000000006</v>
          </cell>
          <cell r="AI53">
            <v>38.913217804960922</v>
          </cell>
          <cell r="AJ53">
            <v>77.826435609921845</v>
          </cell>
          <cell r="AK53">
            <v>207.53716162645824</v>
          </cell>
          <cell r="AL53">
            <v>147.15</v>
          </cell>
          <cell r="AM53">
            <v>73.575000000000003</v>
          </cell>
          <cell r="AN53">
            <v>55.181250000000006</v>
          </cell>
          <cell r="AO53" t="str">
            <v>Shear</v>
          </cell>
          <cell r="AP53" t="str">
            <v>Shear</v>
          </cell>
          <cell r="AQ53" t="str">
            <v>Tensile</v>
          </cell>
          <cell r="AR53">
            <v>38.913217804960922</v>
          </cell>
          <cell r="AS53">
            <v>77.826435609921845</v>
          </cell>
          <cell r="AT53">
            <v>207.53716162645824</v>
          </cell>
        </row>
        <row r="54">
          <cell r="C54" t="str">
            <v>LOS Antenna (2) fastened to the 4 Gang Racks in the operation area</v>
          </cell>
          <cell r="D54">
            <v>15</v>
          </cell>
          <cell r="E54">
            <v>588.6</v>
          </cell>
          <cell r="F54">
            <v>294.3</v>
          </cell>
          <cell r="G54">
            <v>220.72500000000002</v>
          </cell>
          <cell r="I54">
            <v>8.8000000000000007</v>
          </cell>
          <cell r="J54" t="str">
            <v>M6</v>
          </cell>
          <cell r="K54">
            <v>17.893999999999998</v>
          </cell>
          <cell r="L54">
            <v>640</v>
          </cell>
          <cell r="M54">
            <v>320</v>
          </cell>
          <cell r="N54">
            <v>11452.16</v>
          </cell>
          <cell r="O54">
            <v>5726.08</v>
          </cell>
          <cell r="P54">
            <v>2</v>
          </cell>
          <cell r="Q54">
            <v>0</v>
          </cell>
          <cell r="R54">
            <v>0</v>
          </cell>
          <cell r="S54">
            <v>2</v>
          </cell>
          <cell r="T54">
            <v>294.3</v>
          </cell>
          <cell r="U54">
            <v>147.15</v>
          </cell>
          <cell r="V54">
            <v>110.36250000000001</v>
          </cell>
          <cell r="W54">
            <v>38.913217804960922</v>
          </cell>
          <cell r="X54">
            <v>38.913217804960922</v>
          </cell>
          <cell r="Y54">
            <v>51.884290406614561</v>
          </cell>
          <cell r="Z54" t="str">
            <v>0</v>
          </cell>
          <cell r="AA54" t="str">
            <v>0</v>
          </cell>
          <cell r="AB54" t="str">
            <v>0</v>
          </cell>
          <cell r="AC54" t="str">
            <v>0</v>
          </cell>
          <cell r="AD54" t="str">
            <v>0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 t="str">
            <v>0</v>
          </cell>
          <cell r="AJ54" t="str">
            <v>0</v>
          </cell>
          <cell r="AK54" t="str">
            <v>0</v>
          </cell>
          <cell r="AL54">
            <v>294.3</v>
          </cell>
          <cell r="AM54">
            <v>147.15</v>
          </cell>
          <cell r="AN54">
            <v>110.36250000000001</v>
          </cell>
          <cell r="AO54" t="str">
            <v>Tensile</v>
          </cell>
          <cell r="AP54" t="str">
            <v>Shear</v>
          </cell>
          <cell r="AQ54" t="str">
            <v>Shear</v>
          </cell>
          <cell r="AR54">
            <v>38.913217804960922</v>
          </cell>
          <cell r="AS54">
            <v>38.913217804960922</v>
          </cell>
          <cell r="AT54">
            <v>51.884290406614561</v>
          </cell>
        </row>
        <row r="55">
          <cell r="C55" t="str">
            <v>RF Drum (1, 2) strap to floor at the Operation Area</v>
          </cell>
          <cell r="D55">
            <v>14</v>
          </cell>
          <cell r="E55">
            <v>549.36</v>
          </cell>
          <cell r="F55">
            <v>274.68</v>
          </cell>
          <cell r="G55">
            <v>206.01</v>
          </cell>
          <cell r="I55" t="str">
            <v>Ratchet (1")</v>
          </cell>
          <cell r="J55" t="str">
            <v>Ratchet (1")</v>
          </cell>
          <cell r="K55">
            <v>1</v>
          </cell>
          <cell r="L55">
            <v>5000</v>
          </cell>
          <cell r="M55">
            <v>5000</v>
          </cell>
          <cell r="N55">
            <v>5000</v>
          </cell>
          <cell r="O55">
            <v>5000</v>
          </cell>
          <cell r="P55">
            <v>0</v>
          </cell>
          <cell r="Q55">
            <v>1</v>
          </cell>
          <cell r="R55">
            <v>0</v>
          </cell>
          <cell r="S55">
            <v>1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>
            <v>549.36</v>
          </cell>
          <cell r="AA55">
            <v>274.68</v>
          </cell>
          <cell r="AB55">
            <v>206.01</v>
          </cell>
          <cell r="AC55">
            <v>9.1014999271879997</v>
          </cell>
          <cell r="AD55">
            <v>18.202999854375999</v>
          </cell>
          <cell r="AE55">
            <v>24.270666472501336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>
            <v>549.36</v>
          </cell>
          <cell r="AM55">
            <v>274.68</v>
          </cell>
          <cell r="AN55">
            <v>206.01</v>
          </cell>
          <cell r="AO55" t="str">
            <v>Shear</v>
          </cell>
          <cell r="AP55" t="str">
            <v>Tensile</v>
          </cell>
          <cell r="AQ55" t="str">
            <v>Shear</v>
          </cell>
          <cell r="AR55">
            <v>9.1014999271879997</v>
          </cell>
          <cell r="AS55">
            <v>18.202999854375999</v>
          </cell>
          <cell r="AT55">
            <v>24.270666472501336</v>
          </cell>
        </row>
        <row r="56">
          <cell r="C56" t="str">
            <v>Diesel Jerry Cans (8x) spring latched to the Utility rack that fastened to the floor at the Outdoor Facilities Area</v>
          </cell>
          <cell r="D56">
            <v>160</v>
          </cell>
          <cell r="E56">
            <v>6278.4000000000005</v>
          </cell>
          <cell r="F56">
            <v>3139.2000000000003</v>
          </cell>
          <cell r="G56">
            <v>2354.4</v>
          </cell>
          <cell r="I56" t="str">
            <v>Spring Latch</v>
          </cell>
          <cell r="J56" t="str">
            <v>Spring Latch</v>
          </cell>
          <cell r="K56">
            <v>113.09733552923255</v>
          </cell>
          <cell r="L56">
            <v>165</v>
          </cell>
          <cell r="M56">
            <v>82.5</v>
          </cell>
          <cell r="N56">
            <v>18661.060362323373</v>
          </cell>
          <cell r="O56">
            <v>9330.5301811616864</v>
          </cell>
          <cell r="P56">
            <v>0</v>
          </cell>
          <cell r="Q56">
            <v>2</v>
          </cell>
          <cell r="R56">
            <v>0</v>
          </cell>
          <cell r="S56">
            <v>2</v>
          </cell>
          <cell r="T56" t="str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  <cell r="Y56" t="str">
            <v>0</v>
          </cell>
          <cell r="Z56">
            <v>3139.2000000000003</v>
          </cell>
          <cell r="AA56">
            <v>1569.6000000000001</v>
          </cell>
          <cell r="AB56">
            <v>1177.2</v>
          </cell>
          <cell r="AC56">
            <v>2.9722636917563983</v>
          </cell>
          <cell r="AD56">
            <v>11.889054767025593</v>
          </cell>
          <cell r="AE56">
            <v>7.9260365113503957</v>
          </cell>
          <cell r="AF56" t="str">
            <v>0</v>
          </cell>
          <cell r="AG56" t="str">
            <v>0</v>
          </cell>
          <cell r="AH56" t="str">
            <v>0</v>
          </cell>
          <cell r="AI56" t="str">
            <v>0</v>
          </cell>
          <cell r="AJ56" t="str">
            <v>0</v>
          </cell>
          <cell r="AK56" t="str">
            <v>0</v>
          </cell>
          <cell r="AL56">
            <v>3139.2000000000003</v>
          </cell>
          <cell r="AM56">
            <v>1569.6000000000001</v>
          </cell>
          <cell r="AN56">
            <v>1177.2</v>
          </cell>
          <cell r="AO56" t="str">
            <v>Shear</v>
          </cell>
          <cell r="AP56" t="str">
            <v>Tensile</v>
          </cell>
          <cell r="AQ56" t="str">
            <v>Shear</v>
          </cell>
          <cell r="AR56">
            <v>2.9722636917563983</v>
          </cell>
          <cell r="AS56">
            <v>11.889054767025593</v>
          </cell>
          <cell r="AT56">
            <v>7.9260365113503957</v>
          </cell>
        </row>
        <row r="57">
          <cell r="C57" t="str">
            <v>Mast Guying Kit &amp; Tilt Rotator Kit strap to the floor at Operation Area</v>
          </cell>
          <cell r="D57">
            <v>59</v>
          </cell>
          <cell r="E57">
            <v>2354.4</v>
          </cell>
          <cell r="F57">
            <v>1177.2</v>
          </cell>
          <cell r="G57">
            <v>882.90000000000009</v>
          </cell>
          <cell r="I57" t="str">
            <v>camlock Strap (1.5")</v>
          </cell>
          <cell r="J57" t="str">
            <v>camlock Strap (1.5")</v>
          </cell>
          <cell r="K57">
            <v>1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0</v>
          </cell>
          <cell r="Q57">
            <v>2</v>
          </cell>
          <cell r="R57">
            <v>0</v>
          </cell>
          <cell r="S57">
            <v>2</v>
          </cell>
          <cell r="T57" t="str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1177.2</v>
          </cell>
          <cell r="AA57">
            <v>588.6</v>
          </cell>
          <cell r="AB57">
            <v>441.45000000000005</v>
          </cell>
          <cell r="AC57">
            <v>15.290519877675841</v>
          </cell>
          <cell r="AD57">
            <v>30.581039755351682</v>
          </cell>
          <cell r="AE57">
            <v>40.774719673802238</v>
          </cell>
          <cell r="AF57" t="str">
            <v>0</v>
          </cell>
          <cell r="AG57" t="str">
            <v>0</v>
          </cell>
          <cell r="AH57" t="str">
            <v>0</v>
          </cell>
          <cell r="AI57" t="str">
            <v>0</v>
          </cell>
          <cell r="AJ57" t="str">
            <v>0</v>
          </cell>
          <cell r="AK57" t="str">
            <v>0</v>
          </cell>
          <cell r="AL57">
            <v>1177.2</v>
          </cell>
          <cell r="AM57">
            <v>588.6</v>
          </cell>
          <cell r="AN57">
            <v>441.45000000000005</v>
          </cell>
          <cell r="AO57" t="str">
            <v>Shear</v>
          </cell>
          <cell r="AP57" t="str">
            <v>Tensile</v>
          </cell>
          <cell r="AQ57" t="str">
            <v>Shear</v>
          </cell>
          <cell r="AR57">
            <v>15.290519877675841</v>
          </cell>
          <cell r="AS57">
            <v>30.581039755351682</v>
          </cell>
          <cell r="AT57">
            <v>40.774719673802238</v>
          </cell>
        </row>
        <row r="58">
          <cell r="C58" t="str">
            <v>Power Cable Bag &amp; Grounding Kit</v>
          </cell>
          <cell r="D58">
            <v>40</v>
          </cell>
          <cell r="E58">
            <v>1569.6000000000001</v>
          </cell>
          <cell r="F58">
            <v>784.80000000000007</v>
          </cell>
          <cell r="G58">
            <v>588.6</v>
          </cell>
          <cell r="I58" t="str">
            <v>camlock Strap (1.5")</v>
          </cell>
          <cell r="J58" t="str">
            <v>camlock Strap (1.5")</v>
          </cell>
          <cell r="K58">
            <v>1</v>
          </cell>
          <cell r="L58">
            <v>18000</v>
          </cell>
          <cell r="M58">
            <v>18000</v>
          </cell>
          <cell r="N58">
            <v>18000</v>
          </cell>
          <cell r="O58">
            <v>18000</v>
          </cell>
          <cell r="P58">
            <v>0</v>
          </cell>
          <cell r="Q58">
            <v>2</v>
          </cell>
          <cell r="R58">
            <v>0</v>
          </cell>
          <cell r="S58">
            <v>2</v>
          </cell>
          <cell r="T58" t="str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784.80000000000007</v>
          </cell>
          <cell r="AA58">
            <v>392.40000000000003</v>
          </cell>
          <cell r="AB58">
            <v>294.3</v>
          </cell>
          <cell r="AC58">
            <v>22.935779816513758</v>
          </cell>
          <cell r="AD58">
            <v>45.871559633027516</v>
          </cell>
          <cell r="AE58">
            <v>61.162079510703364</v>
          </cell>
          <cell r="AF58" t="str">
            <v>0</v>
          </cell>
          <cell r="AG58" t="str">
            <v>0</v>
          </cell>
          <cell r="AH58" t="str">
            <v>0</v>
          </cell>
          <cell r="AI58" t="str">
            <v>0</v>
          </cell>
          <cell r="AJ58" t="str">
            <v>0</v>
          </cell>
          <cell r="AK58" t="str">
            <v>0</v>
          </cell>
          <cell r="AL58">
            <v>784.80000000000007</v>
          </cell>
          <cell r="AM58">
            <v>392.40000000000003</v>
          </cell>
          <cell r="AN58">
            <v>294.3</v>
          </cell>
          <cell r="AO58" t="str">
            <v>Shear</v>
          </cell>
          <cell r="AP58" t="str">
            <v>Tensile</v>
          </cell>
          <cell r="AQ58" t="str">
            <v>Shear</v>
          </cell>
          <cell r="AR58">
            <v>22.935779816513758</v>
          </cell>
          <cell r="AS58">
            <v>45.871559633027516</v>
          </cell>
          <cell r="AT58">
            <v>61.162079510703364</v>
          </cell>
        </row>
        <row r="59">
          <cell r="C59" t="str">
            <v>IP Phone (1, 2) fastened to the right wall on top of Foldable Table in Operation Area</v>
          </cell>
          <cell r="D59">
            <v>2</v>
          </cell>
          <cell r="E59">
            <v>78.48</v>
          </cell>
          <cell r="F59">
            <v>39.24</v>
          </cell>
          <cell r="G59">
            <v>29.43</v>
          </cell>
          <cell r="I59">
            <v>8.8000000000000007</v>
          </cell>
          <cell r="J59" t="str">
            <v>M6</v>
          </cell>
          <cell r="K59">
            <v>17.893999999999998</v>
          </cell>
          <cell r="L59">
            <v>640</v>
          </cell>
          <cell r="M59">
            <v>320</v>
          </cell>
          <cell r="N59">
            <v>11452.16</v>
          </cell>
          <cell r="O59">
            <v>5726.08</v>
          </cell>
          <cell r="P59">
            <v>0</v>
          </cell>
          <cell r="Q59">
            <v>0</v>
          </cell>
          <cell r="R59">
            <v>2</v>
          </cell>
          <cell r="S59">
            <v>2</v>
          </cell>
          <cell r="T59" t="str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 t="str">
            <v>0</v>
          </cell>
          <cell r="AA59" t="str">
            <v>0</v>
          </cell>
          <cell r="AB59" t="str">
            <v>0</v>
          </cell>
          <cell r="AC59" t="str">
            <v>0</v>
          </cell>
          <cell r="AD59" t="str">
            <v>0</v>
          </cell>
          <cell r="AE59" t="str">
            <v>0</v>
          </cell>
          <cell r="AF59">
            <v>39.24</v>
          </cell>
          <cell r="AG59">
            <v>19.62</v>
          </cell>
          <cell r="AH59">
            <v>14.715</v>
          </cell>
          <cell r="AI59">
            <v>145.92456676860346</v>
          </cell>
          <cell r="AJ59">
            <v>291.84913353720691</v>
          </cell>
          <cell r="AK59">
            <v>778.2643560992185</v>
          </cell>
          <cell r="AL59">
            <v>39.24</v>
          </cell>
          <cell r="AM59">
            <v>19.62</v>
          </cell>
          <cell r="AN59">
            <v>14.715</v>
          </cell>
          <cell r="AO59" t="str">
            <v>Shear</v>
          </cell>
          <cell r="AP59" t="str">
            <v>Shear</v>
          </cell>
          <cell r="AQ59" t="str">
            <v>Tensile</v>
          </cell>
          <cell r="AR59">
            <v>145.92456676860346</v>
          </cell>
          <cell r="AS59">
            <v>291.84913353720691</v>
          </cell>
          <cell r="AT59">
            <v>778.2643560992185</v>
          </cell>
        </row>
        <row r="60">
          <cell r="C60" t="str">
            <v>IP Phone (3) fastened to the top of equipment rack in Operation Area</v>
          </cell>
          <cell r="D60">
            <v>2</v>
          </cell>
          <cell r="E60">
            <v>78.48</v>
          </cell>
          <cell r="F60">
            <v>39.24</v>
          </cell>
          <cell r="G60">
            <v>29.43</v>
          </cell>
          <cell r="I60">
            <v>8.8000000000000007</v>
          </cell>
          <cell r="J60" t="str">
            <v>M6</v>
          </cell>
          <cell r="K60">
            <v>17.893999999999998</v>
          </cell>
          <cell r="L60">
            <v>640</v>
          </cell>
          <cell r="M60">
            <v>320</v>
          </cell>
          <cell r="N60">
            <v>11452.16</v>
          </cell>
          <cell r="O60">
            <v>5726.08</v>
          </cell>
          <cell r="P60">
            <v>0</v>
          </cell>
          <cell r="Q60">
            <v>2</v>
          </cell>
          <cell r="R60">
            <v>0</v>
          </cell>
          <cell r="S60">
            <v>2</v>
          </cell>
          <cell r="T60" t="str">
            <v>0</v>
          </cell>
          <cell r="U60" t="str">
            <v>0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39.24</v>
          </cell>
          <cell r="AA60">
            <v>19.62</v>
          </cell>
          <cell r="AB60">
            <v>14.715</v>
          </cell>
          <cell r="AC60">
            <v>145.92456676860346</v>
          </cell>
          <cell r="AD60">
            <v>583.69826707441382</v>
          </cell>
          <cell r="AE60">
            <v>389.13217804960925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>
            <v>39.24</v>
          </cell>
          <cell r="AM60">
            <v>19.62</v>
          </cell>
          <cell r="AN60">
            <v>14.715</v>
          </cell>
          <cell r="AO60" t="str">
            <v>Shear</v>
          </cell>
          <cell r="AP60" t="str">
            <v>Tensile</v>
          </cell>
          <cell r="AQ60" t="str">
            <v>Shear</v>
          </cell>
          <cell r="AR60">
            <v>145.92456676860346</v>
          </cell>
          <cell r="AS60">
            <v>583.69826707441382</v>
          </cell>
          <cell r="AT60">
            <v>389.13217804960925</v>
          </cell>
        </row>
        <row r="61">
          <cell r="C61" t="str">
            <v>Rifle Clip (1,2,3) fastened to left wall</v>
          </cell>
          <cell r="D61">
            <v>2</v>
          </cell>
          <cell r="E61">
            <v>78.48</v>
          </cell>
          <cell r="F61">
            <v>39.24</v>
          </cell>
          <cell r="G61">
            <v>29.43</v>
          </cell>
          <cell r="I61">
            <v>8.8000000000000007</v>
          </cell>
          <cell r="J61" t="str">
            <v>M6</v>
          </cell>
          <cell r="K61">
            <v>17.893999999999998</v>
          </cell>
          <cell r="L61">
            <v>640</v>
          </cell>
          <cell r="M61">
            <v>320</v>
          </cell>
          <cell r="N61">
            <v>11452.16</v>
          </cell>
          <cell r="O61">
            <v>5726.08</v>
          </cell>
          <cell r="P61">
            <v>0</v>
          </cell>
          <cell r="Q61">
            <v>0</v>
          </cell>
          <cell r="R61">
            <v>2</v>
          </cell>
          <cell r="S61">
            <v>2</v>
          </cell>
          <cell r="T61" t="str">
            <v>0</v>
          </cell>
          <cell r="U61" t="str">
            <v>0</v>
          </cell>
          <cell r="V61" t="str">
            <v>0</v>
          </cell>
          <cell r="W61" t="str">
            <v>0</v>
          </cell>
          <cell r="X61" t="str">
            <v>0</v>
          </cell>
          <cell r="Y61" t="str">
            <v>0</v>
          </cell>
          <cell r="Z61" t="str">
            <v>0</v>
          </cell>
          <cell r="AA61" t="str">
            <v>0</v>
          </cell>
          <cell r="AB61" t="str">
            <v>0</v>
          </cell>
          <cell r="AC61" t="str">
            <v>0</v>
          </cell>
          <cell r="AD61" t="str">
            <v>0</v>
          </cell>
          <cell r="AE61" t="str">
            <v>0</v>
          </cell>
          <cell r="AF61">
            <v>39.24</v>
          </cell>
          <cell r="AG61">
            <v>19.62</v>
          </cell>
          <cell r="AH61">
            <v>14.715</v>
          </cell>
          <cell r="AI61">
            <v>145.92456676860346</v>
          </cell>
          <cell r="AJ61">
            <v>291.84913353720691</v>
          </cell>
          <cell r="AK61">
            <v>778.2643560992185</v>
          </cell>
          <cell r="AL61">
            <v>39.24</v>
          </cell>
          <cell r="AM61">
            <v>19.62</v>
          </cell>
          <cell r="AN61">
            <v>14.715</v>
          </cell>
          <cell r="AO61" t="str">
            <v>Shear</v>
          </cell>
          <cell r="AP61" t="str">
            <v>Shear</v>
          </cell>
          <cell r="AQ61" t="str">
            <v>Tensile</v>
          </cell>
          <cell r="AR61">
            <v>145.92456676860346</v>
          </cell>
          <cell r="AS61">
            <v>291.84913353720691</v>
          </cell>
          <cell r="AT61">
            <v>778.2643560992185</v>
          </cell>
        </row>
        <row r="62">
          <cell r="C62" t="str">
            <v>Lightings (4x) fastened to Ceiling</v>
          </cell>
          <cell r="D62">
            <v>1.6</v>
          </cell>
          <cell r="E62">
            <v>62.784000000000006</v>
          </cell>
          <cell r="F62">
            <v>31.392000000000003</v>
          </cell>
          <cell r="G62">
            <v>23.544000000000004</v>
          </cell>
          <cell r="I62">
            <v>8.8000000000000007</v>
          </cell>
          <cell r="J62" t="str">
            <v>M6</v>
          </cell>
          <cell r="K62">
            <v>17.893999999999998</v>
          </cell>
          <cell r="L62">
            <v>640</v>
          </cell>
          <cell r="M62">
            <v>320</v>
          </cell>
          <cell r="N62">
            <v>11452.16</v>
          </cell>
          <cell r="O62">
            <v>5726.08</v>
          </cell>
          <cell r="P62">
            <v>0</v>
          </cell>
          <cell r="Q62">
            <v>4</v>
          </cell>
          <cell r="R62">
            <v>0</v>
          </cell>
          <cell r="S62">
            <v>4</v>
          </cell>
          <cell r="T62" t="str">
            <v>0</v>
          </cell>
          <cell r="U62" t="str">
            <v>0</v>
          </cell>
          <cell r="V62" t="str">
            <v>0</v>
          </cell>
          <cell r="W62" t="str">
            <v>0</v>
          </cell>
          <cell r="X62" t="str">
            <v>0</v>
          </cell>
          <cell r="Y62" t="str">
            <v>0</v>
          </cell>
          <cell r="Z62">
            <v>15.696000000000002</v>
          </cell>
          <cell r="AA62">
            <v>7.8480000000000008</v>
          </cell>
          <cell r="AB62">
            <v>5.886000000000001</v>
          </cell>
          <cell r="AC62">
            <v>364.81141692150862</v>
          </cell>
          <cell r="AD62">
            <v>1459.2456676860345</v>
          </cell>
          <cell r="AE62">
            <v>972.83044512402296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 t="str">
            <v>0</v>
          </cell>
          <cell r="AL62">
            <v>15.696000000000002</v>
          </cell>
          <cell r="AM62">
            <v>7.8480000000000008</v>
          </cell>
          <cell r="AN62">
            <v>5.886000000000001</v>
          </cell>
          <cell r="AO62" t="str">
            <v>Shear</v>
          </cell>
          <cell r="AP62" t="str">
            <v>Tensile</v>
          </cell>
          <cell r="AQ62" t="str">
            <v>Shear</v>
          </cell>
          <cell r="AR62">
            <v>364.81141692150862</v>
          </cell>
          <cell r="AS62">
            <v>1459.2456676860345</v>
          </cell>
          <cell r="AT62">
            <v>972.83044512402296</v>
          </cell>
        </row>
        <row r="63">
          <cell r="C63" t="str">
            <v>Ventilation Fan fastened to left wall</v>
          </cell>
          <cell r="D63">
            <v>5</v>
          </cell>
          <cell r="E63">
            <v>196.20000000000002</v>
          </cell>
          <cell r="F63">
            <v>98.100000000000009</v>
          </cell>
          <cell r="G63">
            <v>73.575000000000003</v>
          </cell>
          <cell r="I63">
            <v>8.8000000000000007</v>
          </cell>
          <cell r="J63" t="str">
            <v>M6</v>
          </cell>
          <cell r="K63">
            <v>17.893999999999998</v>
          </cell>
          <cell r="L63">
            <v>640</v>
          </cell>
          <cell r="M63">
            <v>320</v>
          </cell>
          <cell r="N63">
            <v>11452.16</v>
          </cell>
          <cell r="O63">
            <v>5726.08</v>
          </cell>
          <cell r="P63">
            <v>0</v>
          </cell>
          <cell r="Q63">
            <v>0</v>
          </cell>
          <cell r="R63">
            <v>8</v>
          </cell>
          <cell r="S63">
            <v>8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  <cell r="AB63" t="str">
            <v>0</v>
          </cell>
          <cell r="AC63" t="str">
            <v>0</v>
          </cell>
          <cell r="AD63" t="str">
            <v>0</v>
          </cell>
          <cell r="AE63" t="str">
            <v>0</v>
          </cell>
          <cell r="AF63">
            <v>24.525000000000002</v>
          </cell>
          <cell r="AG63">
            <v>12.262500000000001</v>
          </cell>
          <cell r="AH63">
            <v>9.1968750000000004</v>
          </cell>
          <cell r="AI63">
            <v>233.47930682976553</v>
          </cell>
          <cell r="AJ63">
            <v>466.95861365953107</v>
          </cell>
          <cell r="AK63">
            <v>1245.2229697587495</v>
          </cell>
          <cell r="AL63">
            <v>24.525000000000002</v>
          </cell>
          <cell r="AM63">
            <v>12.262500000000001</v>
          </cell>
          <cell r="AN63">
            <v>9.1968750000000004</v>
          </cell>
          <cell r="AO63" t="str">
            <v>Shear</v>
          </cell>
          <cell r="AP63" t="str">
            <v>Shear</v>
          </cell>
          <cell r="AQ63" t="str">
            <v>Tensile</v>
          </cell>
          <cell r="AR63">
            <v>233.47930682976553</v>
          </cell>
          <cell r="AS63">
            <v>466.95861365953107</v>
          </cell>
          <cell r="AT63">
            <v>1245.2229697587495</v>
          </cell>
        </row>
        <row r="64">
          <cell r="C64" t="str">
            <v>Camouflage Net w/ Bamboo sticks strap to the EM mast working platform</v>
          </cell>
          <cell r="D64">
            <v>25</v>
          </cell>
          <cell r="E64">
            <v>981</v>
          </cell>
          <cell r="F64">
            <v>490.5</v>
          </cell>
          <cell r="G64">
            <v>367.875</v>
          </cell>
          <cell r="I64" t="str">
            <v>Camlock Strap (1")</v>
          </cell>
          <cell r="J64" t="str">
            <v>Camlock Strap (1")</v>
          </cell>
          <cell r="K64">
            <v>1</v>
          </cell>
          <cell r="L64">
            <v>2500</v>
          </cell>
          <cell r="M64">
            <v>2500</v>
          </cell>
          <cell r="N64">
            <v>2500</v>
          </cell>
          <cell r="O64">
            <v>2500</v>
          </cell>
          <cell r="P64">
            <v>0</v>
          </cell>
          <cell r="Q64">
            <v>2</v>
          </cell>
          <cell r="R64">
            <v>0</v>
          </cell>
          <cell r="S64">
            <v>2</v>
          </cell>
          <cell r="T64" t="str">
            <v>0</v>
          </cell>
          <cell r="U64" t="str">
            <v>0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490.5</v>
          </cell>
          <cell r="AA64">
            <v>245.25</v>
          </cell>
          <cell r="AB64">
            <v>183.9375</v>
          </cell>
          <cell r="AC64">
            <v>5.0968399592252807</v>
          </cell>
          <cell r="AD64">
            <v>10.193679918450561</v>
          </cell>
          <cell r="AE64">
            <v>13.591573224600747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>
            <v>490.5</v>
          </cell>
          <cell r="AM64">
            <v>245.25</v>
          </cell>
          <cell r="AN64">
            <v>183.9375</v>
          </cell>
          <cell r="AO64" t="str">
            <v>Shear</v>
          </cell>
          <cell r="AP64" t="str">
            <v>Tensile</v>
          </cell>
          <cell r="AQ64" t="str">
            <v>Shear</v>
          </cell>
          <cell r="AR64">
            <v>5.0968399592252807</v>
          </cell>
          <cell r="AS64">
            <v>10.193679918450561</v>
          </cell>
          <cell r="AT64">
            <v>13.591573224600747</v>
          </cell>
        </row>
        <row r="65">
          <cell r="C65" t="str">
            <v>Roof Safety Lifeline fastened to the Roof</v>
          </cell>
          <cell r="D65">
            <v>6</v>
          </cell>
          <cell r="E65">
            <v>235.44</v>
          </cell>
          <cell r="F65">
            <v>117.72</v>
          </cell>
          <cell r="G65">
            <v>88.289999999999992</v>
          </cell>
          <cell r="I65">
            <v>8.8000000000000007</v>
          </cell>
          <cell r="J65" t="str">
            <v>M12</v>
          </cell>
          <cell r="K65">
            <v>76.247</v>
          </cell>
          <cell r="L65">
            <v>640</v>
          </cell>
          <cell r="M65">
            <v>320</v>
          </cell>
          <cell r="N65">
            <v>48798.080000000002</v>
          </cell>
          <cell r="O65">
            <v>24399.040000000001</v>
          </cell>
          <cell r="P65">
            <v>0</v>
          </cell>
          <cell r="Q65">
            <v>8</v>
          </cell>
          <cell r="R65">
            <v>0</v>
          </cell>
          <cell r="S65">
            <v>8</v>
          </cell>
          <cell r="T65" t="str">
            <v>0</v>
          </cell>
          <cell r="U65" t="str">
            <v>0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29.43</v>
          </cell>
          <cell r="AA65">
            <v>14.715</v>
          </cell>
          <cell r="AB65">
            <v>11.036249999999999</v>
          </cell>
          <cell r="AC65">
            <v>829.05334692490658</v>
          </cell>
          <cell r="AD65">
            <v>3316.2133876996263</v>
          </cell>
          <cell r="AE65">
            <v>2210.8089251330844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>
            <v>29.43</v>
          </cell>
          <cell r="AM65">
            <v>14.715</v>
          </cell>
          <cell r="AN65">
            <v>11.036249999999999</v>
          </cell>
          <cell r="AO65" t="str">
            <v>Shear</v>
          </cell>
          <cell r="AP65" t="str">
            <v>Tensile</v>
          </cell>
          <cell r="AQ65" t="str">
            <v>Shear</v>
          </cell>
          <cell r="AR65">
            <v>829.05334692490658</v>
          </cell>
          <cell r="AS65">
            <v>3316.2133876996263</v>
          </cell>
          <cell r="AT65">
            <v>2210.8089251330844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70"/>
  <sheetViews>
    <sheetView tabSelected="1" topLeftCell="A43" zoomScaleNormal="100" workbookViewId="0">
      <selection activeCell="C65" sqref="C65"/>
    </sheetView>
  </sheetViews>
  <sheetFormatPr defaultColWidth="9.140625" defaultRowHeight="15" x14ac:dyDescent="0.25"/>
  <cols>
    <col min="1" max="1" width="2.85546875" style="3" customWidth="1"/>
    <col min="2" max="2" width="4.5703125" style="25" bestFit="1" customWidth="1"/>
    <col min="3" max="3" width="60.5703125" style="3" bestFit="1" customWidth="1"/>
    <col min="4" max="4" width="21.42578125" style="3" bestFit="1" customWidth="1"/>
    <col min="5" max="5" width="13" style="3" bestFit="1" customWidth="1"/>
    <col min="6" max="6" width="11.5703125" style="3" bestFit="1" customWidth="1"/>
    <col min="7" max="7" width="11" style="3" bestFit="1" customWidth="1"/>
    <col min="8" max="8" width="15.42578125" style="24" bestFit="1" customWidth="1"/>
    <col min="9" max="10" width="20.28515625" style="24" bestFit="1" customWidth="1"/>
    <col min="11" max="11" width="8.7109375" style="25" bestFit="1" customWidth="1"/>
    <col min="12" max="12" width="9.5703125" style="25" bestFit="1" customWidth="1"/>
    <col min="13" max="13" width="12.140625" style="25" bestFit="1" customWidth="1"/>
    <col min="14" max="14" width="12" style="25" bestFit="1" customWidth="1"/>
    <col min="15" max="15" width="10" style="25" bestFit="1" customWidth="1"/>
    <col min="16" max="16" width="6.85546875" style="25" bestFit="1" customWidth="1"/>
    <col min="17" max="17" width="5.85546875" style="25" bestFit="1" customWidth="1"/>
    <col min="18" max="18" width="7.85546875" style="25" bestFit="1" customWidth="1"/>
    <col min="19" max="19" width="6" style="25" bestFit="1" customWidth="1"/>
    <col min="20" max="20" width="8.140625" style="25" bestFit="1" customWidth="1"/>
    <col min="21" max="21" width="9.7109375" style="25" bestFit="1" customWidth="1"/>
    <col min="22" max="22" width="7.85546875" style="25" bestFit="1" customWidth="1"/>
    <col min="23" max="23" width="6.85546875" style="25" bestFit="1" customWidth="1"/>
    <col min="24" max="24" width="5.85546875" style="25" bestFit="1" customWidth="1"/>
    <col min="25" max="25" width="7.85546875" style="25" bestFit="1" customWidth="1"/>
    <col min="26" max="26" width="7.140625" style="25" bestFit="1" customWidth="1"/>
    <col min="27" max="27" width="8.140625" style="25" bestFit="1" customWidth="1"/>
    <col min="28" max="28" width="7.85546875" style="25" bestFit="1" customWidth="1"/>
    <col min="29" max="29" width="6.85546875" style="25" bestFit="1" customWidth="1"/>
    <col min="30" max="30" width="6.28515625" style="25" bestFit="1" customWidth="1"/>
    <col min="31" max="31" width="7.85546875" style="25" bestFit="1" customWidth="1"/>
    <col min="32" max="33" width="7.140625" style="25" bestFit="1" customWidth="1"/>
    <col min="34" max="34" width="8.140625" style="25" bestFit="1" customWidth="1"/>
    <col min="35" max="35" width="6.85546875" style="25" bestFit="1" customWidth="1"/>
    <col min="36" max="36" width="5.85546875" style="25" bestFit="1" customWidth="1"/>
    <col min="37" max="37" width="7.85546875" style="25" bestFit="1" customWidth="1"/>
    <col min="38" max="38" width="12.85546875" style="3" customWidth="1"/>
    <col min="39" max="39" width="8.5703125" style="3" customWidth="1"/>
    <col min="40" max="40" width="8.85546875" style="3" customWidth="1"/>
    <col min="41" max="43" width="8.140625" style="3" bestFit="1" customWidth="1"/>
    <col min="44" max="44" width="7.28515625" style="3" bestFit="1" customWidth="1"/>
    <col min="45" max="46" width="8.140625" style="3" bestFit="1" customWidth="1"/>
    <col min="47" max="16384" width="9.140625" style="3"/>
  </cols>
  <sheetData>
    <row r="1" spans="1:46" x14ac:dyDescent="0.25">
      <c r="C1" s="154" t="s">
        <v>81</v>
      </c>
      <c r="D1" s="154"/>
      <c r="E1" s="154"/>
    </row>
    <row r="2" spans="1:46" ht="15.75" thickBot="1" x14ac:dyDescent="0.3"/>
    <row r="3" spans="1:46" ht="15.75" thickBot="1" x14ac:dyDescent="0.3">
      <c r="C3" s="9" t="s">
        <v>24</v>
      </c>
      <c r="D3" s="11">
        <v>9.81</v>
      </c>
      <c r="E3" s="10" t="s">
        <v>27</v>
      </c>
    </row>
    <row r="4" spans="1:46" ht="15.75" thickBot="1" x14ac:dyDescent="0.3">
      <c r="C4" s="9" t="s">
        <v>25</v>
      </c>
      <c r="D4" s="11">
        <v>4</v>
      </c>
      <c r="E4" s="10" t="s">
        <v>26</v>
      </c>
      <c r="F4" s="25" t="s">
        <v>99</v>
      </c>
    </row>
    <row r="5" spans="1:46" ht="15.75" thickBot="1" x14ac:dyDescent="0.3">
      <c r="C5" s="9" t="s">
        <v>28</v>
      </c>
      <c r="D5" s="11">
        <v>2</v>
      </c>
      <c r="E5" s="10" t="s">
        <v>26</v>
      </c>
      <c r="F5" s="25" t="s">
        <v>100</v>
      </c>
    </row>
    <row r="6" spans="1:46" ht="15.75" thickBot="1" x14ac:dyDescent="0.3">
      <c r="C6" s="9" t="s">
        <v>29</v>
      </c>
      <c r="D6" s="11">
        <v>1.5</v>
      </c>
      <c r="E6" s="10" t="s">
        <v>26</v>
      </c>
      <c r="F6" s="25" t="s">
        <v>101</v>
      </c>
    </row>
    <row r="8" spans="1:46" s="1" customFormat="1" ht="30" customHeight="1" x14ac:dyDescent="0.25">
      <c r="A8" s="2"/>
      <c r="B8" s="158" t="s">
        <v>106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48" t="s">
        <v>18</v>
      </c>
      <c r="Q8" s="148"/>
      <c r="R8" s="148"/>
      <c r="S8" s="148"/>
      <c r="T8" s="155" t="s">
        <v>55</v>
      </c>
      <c r="U8" s="155"/>
      <c r="V8" s="155"/>
      <c r="W8" s="156" t="s">
        <v>57</v>
      </c>
      <c r="X8" s="156"/>
      <c r="Y8" s="156"/>
      <c r="Z8" s="157" t="s">
        <v>54</v>
      </c>
      <c r="AA8" s="157"/>
      <c r="AB8" s="157"/>
      <c r="AC8" s="147" t="s">
        <v>58</v>
      </c>
      <c r="AD8" s="147"/>
      <c r="AE8" s="147"/>
      <c r="AF8" s="152" t="s">
        <v>56</v>
      </c>
      <c r="AG8" s="152"/>
      <c r="AH8" s="152"/>
      <c r="AI8" s="153" t="s">
        <v>59</v>
      </c>
      <c r="AJ8" s="153"/>
      <c r="AK8" s="153"/>
      <c r="AL8" s="149" t="s">
        <v>61</v>
      </c>
      <c r="AM8" s="149"/>
      <c r="AN8" s="149"/>
      <c r="AO8" s="151" t="s">
        <v>65</v>
      </c>
      <c r="AP8" s="151"/>
      <c r="AQ8" s="151"/>
      <c r="AR8" s="150" t="s">
        <v>62</v>
      </c>
      <c r="AS8" s="150"/>
      <c r="AT8" s="150"/>
    </row>
    <row r="9" spans="1:46" s="1" customFormat="1" ht="60" x14ac:dyDescent="0.25">
      <c r="A9" s="2"/>
      <c r="B9" s="5" t="s">
        <v>0</v>
      </c>
      <c r="C9" s="5" t="s">
        <v>1</v>
      </c>
      <c r="D9" s="5" t="s">
        <v>94</v>
      </c>
      <c r="E9" s="95" t="s">
        <v>6</v>
      </c>
      <c r="F9" s="95" t="s">
        <v>7</v>
      </c>
      <c r="G9" s="95" t="s">
        <v>8</v>
      </c>
      <c r="H9" s="5" t="s">
        <v>3</v>
      </c>
      <c r="I9" s="5" t="s">
        <v>4</v>
      </c>
      <c r="J9" s="5" t="s">
        <v>5</v>
      </c>
      <c r="K9" s="96" t="s">
        <v>23</v>
      </c>
      <c r="L9" s="97" t="s">
        <v>31</v>
      </c>
      <c r="M9" s="97" t="s">
        <v>32</v>
      </c>
      <c r="N9" s="98" t="s">
        <v>33</v>
      </c>
      <c r="O9" s="98" t="s">
        <v>34</v>
      </c>
      <c r="P9" s="99" t="s">
        <v>16</v>
      </c>
      <c r="Q9" s="69" t="s">
        <v>17</v>
      </c>
      <c r="R9" s="69" t="s">
        <v>9</v>
      </c>
      <c r="S9" s="69" t="s">
        <v>60</v>
      </c>
      <c r="T9" s="65" t="s">
        <v>14</v>
      </c>
      <c r="U9" s="65" t="s">
        <v>10</v>
      </c>
      <c r="V9" s="65" t="s">
        <v>11</v>
      </c>
      <c r="W9" s="66" t="s">
        <v>19</v>
      </c>
      <c r="X9" s="66" t="s">
        <v>20</v>
      </c>
      <c r="Y9" s="66" t="s">
        <v>2</v>
      </c>
      <c r="Z9" s="67" t="s">
        <v>12</v>
      </c>
      <c r="AA9" s="67" t="s">
        <v>13</v>
      </c>
      <c r="AB9" s="67" t="s">
        <v>11</v>
      </c>
      <c r="AC9" s="68" t="s">
        <v>19</v>
      </c>
      <c r="AD9" s="68" t="s">
        <v>20</v>
      </c>
      <c r="AE9" s="68" t="s">
        <v>2</v>
      </c>
      <c r="AF9" s="72" t="s">
        <v>12</v>
      </c>
      <c r="AG9" s="72" t="s">
        <v>21</v>
      </c>
      <c r="AH9" s="72" t="s">
        <v>22</v>
      </c>
      <c r="AI9" s="73" t="s">
        <v>19</v>
      </c>
      <c r="AJ9" s="73" t="s">
        <v>20</v>
      </c>
      <c r="AK9" s="73" t="s">
        <v>2</v>
      </c>
      <c r="AL9" s="70" t="s">
        <v>63</v>
      </c>
      <c r="AM9" s="70" t="s">
        <v>64</v>
      </c>
      <c r="AN9" s="70" t="s">
        <v>8</v>
      </c>
      <c r="AO9" s="4" t="s">
        <v>19</v>
      </c>
      <c r="AP9" s="4" t="s">
        <v>20</v>
      </c>
      <c r="AQ9" s="4" t="s">
        <v>2</v>
      </c>
      <c r="AR9" s="71" t="s">
        <v>19</v>
      </c>
      <c r="AS9" s="71" t="s">
        <v>20</v>
      </c>
      <c r="AT9" s="71" t="s">
        <v>2</v>
      </c>
    </row>
    <row r="10" spans="1:46" x14ac:dyDescent="0.25">
      <c r="B10" s="36">
        <v>1</v>
      </c>
      <c r="C10" s="34" t="s">
        <v>111</v>
      </c>
      <c r="D10" s="39">
        <v>14</v>
      </c>
      <c r="E10" s="78">
        <f t="shared" ref="E10" si="0">D10*$D$3*$D$4</f>
        <v>549.36</v>
      </c>
      <c r="F10" s="78">
        <f t="shared" ref="F10" si="1">D10*$D$3*$D$5</f>
        <v>274.68</v>
      </c>
      <c r="G10" s="78">
        <f t="shared" ref="G10" si="2">D10*$D$3*$D$6</f>
        <v>206.01</v>
      </c>
      <c r="H10" s="36"/>
      <c r="I10" s="36">
        <v>8.8000000000000007</v>
      </c>
      <c r="J10" s="37" t="s">
        <v>37</v>
      </c>
      <c r="K10" s="49">
        <f>VLOOKUP(J10,'Fastener Data'!$E$3:$G$29,2,FALSE)</f>
        <v>17.893999999999998</v>
      </c>
      <c r="L10" s="26">
        <f>VLOOKUP(I10,'Fastener Data'!$B$3:$C$18,2,FALSE)</f>
        <v>640</v>
      </c>
      <c r="M10" s="26">
        <f t="shared" ref="M10" si="3">L10*0.5</f>
        <v>320</v>
      </c>
      <c r="N10" s="50">
        <f t="shared" ref="N10" si="4">K10*L10</f>
        <v>11452.16</v>
      </c>
      <c r="O10" s="50">
        <f t="shared" ref="O10" si="5">K10*M10</f>
        <v>5726.08</v>
      </c>
      <c r="P10" s="38">
        <v>6</v>
      </c>
      <c r="Q10" s="38">
        <v>0</v>
      </c>
      <c r="R10" s="38">
        <v>0</v>
      </c>
      <c r="S10" s="100">
        <f t="shared" ref="S10:S64" si="6">SUM(P10:R10)</f>
        <v>6</v>
      </c>
      <c r="T10" s="51">
        <f t="shared" ref="T10" si="7">IF(P10=0,"0",E10/P10)</f>
        <v>91.56</v>
      </c>
      <c r="U10" s="51">
        <f t="shared" ref="U10" si="8">IF(P10=0,"0",F10/P10)</f>
        <v>45.78</v>
      </c>
      <c r="V10" s="51">
        <f t="shared" ref="V10" si="9">IF(P10=0,"0",G10/P10)</f>
        <v>34.335000000000001</v>
      </c>
      <c r="W10" s="52">
        <f>IF(T10="0","0",N10/T10)</f>
        <v>125.0782000873744</v>
      </c>
      <c r="X10" s="52">
        <f>IF(U10="0","0",O10/U10)</f>
        <v>125.0782000873744</v>
      </c>
      <c r="Y10" s="52">
        <f>IF(V10="0","0",O10/V10)</f>
        <v>166.77093344983251</v>
      </c>
      <c r="Z10" s="53" t="str">
        <f t="shared" ref="Z10" si="10">IF(Q10=0,"0",E10/Q10)</f>
        <v>0</v>
      </c>
      <c r="AA10" s="53" t="str">
        <f t="shared" ref="AA10" si="11">IF(Q10=0,"0",F10/Q10)</f>
        <v>0</v>
      </c>
      <c r="AB10" s="53" t="str">
        <f t="shared" ref="AB10" si="12">IF(Q10=0,"0",G10/Q10)</f>
        <v>0</v>
      </c>
      <c r="AC10" s="54" t="str">
        <f>IF(Z10="0","0",O10/Z10)</f>
        <v>0</v>
      </c>
      <c r="AD10" s="54" t="str">
        <f>IF(AA10="0","0",N10/AA10)</f>
        <v>0</v>
      </c>
      <c r="AE10" s="54" t="str">
        <f>IF(AB10="0","0",O10/AB10)</f>
        <v>0</v>
      </c>
      <c r="AF10" s="55" t="str">
        <f t="shared" ref="AF10" si="13">IF(R10=0,"0",E10/R10)</f>
        <v>0</v>
      </c>
      <c r="AG10" s="55" t="str">
        <f t="shared" ref="AG10" si="14">IF(R10=0,"0",F10/R10)</f>
        <v>0</v>
      </c>
      <c r="AH10" s="55" t="str">
        <f t="shared" ref="AH10" si="15">IF(R10=0,"0",G10/R10)</f>
        <v>0</v>
      </c>
      <c r="AI10" s="56" t="str">
        <f>IF(AF10="0","0",O10/AF10)</f>
        <v>0</v>
      </c>
      <c r="AJ10" s="56" t="str">
        <f>IF(AG10="0","0",O10/AG10)</f>
        <v>0</v>
      </c>
      <c r="AK10" s="56" t="str">
        <f>IF(AH10="0","0",N10/AH10)</f>
        <v>0</v>
      </c>
      <c r="AL10" s="57">
        <f>T10+Z10+AF10</f>
        <v>91.56</v>
      </c>
      <c r="AM10" s="57">
        <f t="shared" ref="AM10:AN10" si="16">U10+AA10+AG10</f>
        <v>45.78</v>
      </c>
      <c r="AN10" s="57">
        <f t="shared" si="16"/>
        <v>34.335000000000001</v>
      </c>
      <c r="AO10" s="6" t="str">
        <f t="shared" ref="AO10" si="17">IF(I10="Strap","Tensile",IF(P10&gt;0,"Tensile","Shear"))</f>
        <v>Tensile</v>
      </c>
      <c r="AP10" s="6" t="str">
        <f t="shared" ref="AP10" si="18">IF(I10="Strap","Tensile",IF(Q10&gt;0,"Tensile","Shear"))</f>
        <v>Shear</v>
      </c>
      <c r="AQ10" s="6" t="str">
        <f t="shared" ref="AQ10" si="19">IF(I10="Strap","Tensile",IF(R10&gt;0,"Tensile","Shear"))</f>
        <v>Shear</v>
      </c>
      <c r="AR10" s="58">
        <f t="shared" ref="AR10:AT11" si="20">W10+AC10+AI10</f>
        <v>125.0782000873744</v>
      </c>
      <c r="AS10" s="58">
        <f t="shared" si="20"/>
        <v>125.0782000873744</v>
      </c>
      <c r="AT10" s="58">
        <f t="shared" si="20"/>
        <v>166.77093344983251</v>
      </c>
    </row>
    <row r="11" spans="1:46" x14ac:dyDescent="0.25">
      <c r="B11" s="36">
        <v>2</v>
      </c>
      <c r="C11" s="34" t="s">
        <v>118</v>
      </c>
      <c r="D11" s="39">
        <v>14</v>
      </c>
      <c r="E11" s="78">
        <f t="shared" ref="E11" si="21">D11*$D$3*$D$4</f>
        <v>549.36</v>
      </c>
      <c r="F11" s="78">
        <f t="shared" ref="F11" si="22">D11*$D$3*$D$5</f>
        <v>274.68</v>
      </c>
      <c r="G11" s="78">
        <f t="shared" ref="G11" si="23">D11*$D$3*$D$6</f>
        <v>206.01</v>
      </c>
      <c r="H11" s="36"/>
      <c r="I11" s="36">
        <v>8.8000000000000007</v>
      </c>
      <c r="J11" s="37" t="s">
        <v>37</v>
      </c>
      <c r="K11" s="49">
        <f>VLOOKUP(J11,'Fastener Data'!$E$3:$G$29,2,FALSE)</f>
        <v>17.893999999999998</v>
      </c>
      <c r="L11" s="26">
        <f>VLOOKUP(I11,'Fastener Data'!$B$3:$C$18,2,FALSE)</f>
        <v>640</v>
      </c>
      <c r="M11" s="26">
        <f t="shared" ref="M11" si="24">L11*0.5</f>
        <v>320</v>
      </c>
      <c r="N11" s="50">
        <f t="shared" ref="N11" si="25">K11*L11</f>
        <v>11452.16</v>
      </c>
      <c r="O11" s="50">
        <f t="shared" ref="O11" si="26">K11*M11</f>
        <v>5726.08</v>
      </c>
      <c r="P11" s="38">
        <v>0</v>
      </c>
      <c r="Q11" s="38">
        <v>0</v>
      </c>
      <c r="R11" s="38">
        <v>6</v>
      </c>
      <c r="S11" s="100">
        <f t="shared" ref="S11" si="27">SUM(P11:R11)</f>
        <v>6</v>
      </c>
      <c r="T11" s="51" t="str">
        <f t="shared" ref="T11" si="28">IF(P11=0,"0",E11/P11)</f>
        <v>0</v>
      </c>
      <c r="U11" s="51" t="str">
        <f t="shared" ref="U11" si="29">IF(P11=0,"0",F11/P11)</f>
        <v>0</v>
      </c>
      <c r="V11" s="51" t="str">
        <f t="shared" ref="V11" si="30">IF(P11=0,"0",G11/P11)</f>
        <v>0</v>
      </c>
      <c r="W11" s="52" t="str">
        <f>IF(T11="0","0",N11/T11)</f>
        <v>0</v>
      </c>
      <c r="X11" s="52" t="str">
        <f>IF(U11="0","0",O11/U11)</f>
        <v>0</v>
      </c>
      <c r="Y11" s="52" t="str">
        <f>IF(V11="0","0",O11/V11)</f>
        <v>0</v>
      </c>
      <c r="Z11" s="53" t="str">
        <f t="shared" ref="Z11" si="31">IF(Q11=0,"0",E11/Q11)</f>
        <v>0</v>
      </c>
      <c r="AA11" s="53" t="str">
        <f t="shared" ref="AA11" si="32">IF(Q11=0,"0",F11/Q11)</f>
        <v>0</v>
      </c>
      <c r="AB11" s="53" t="str">
        <f t="shared" ref="AB11" si="33">IF(Q11=0,"0",G11/Q11)</f>
        <v>0</v>
      </c>
      <c r="AC11" s="54" t="str">
        <f>IF(Z11="0","0",O11/Z11)</f>
        <v>0</v>
      </c>
      <c r="AD11" s="54" t="str">
        <f>IF(AA11="0","0",N11/AA11)</f>
        <v>0</v>
      </c>
      <c r="AE11" s="54" t="str">
        <f>IF(AB11="0","0",O11/AB11)</f>
        <v>0</v>
      </c>
      <c r="AF11" s="55">
        <f t="shared" ref="AF11" si="34">IF(R11=0,"0",E11/R11)</f>
        <v>91.56</v>
      </c>
      <c r="AG11" s="55">
        <f t="shared" ref="AG11" si="35">IF(R11=0,"0",F11/R11)</f>
        <v>45.78</v>
      </c>
      <c r="AH11" s="55">
        <f t="shared" ref="AH11" si="36">IF(R11=0,"0",G11/R11)</f>
        <v>34.335000000000001</v>
      </c>
      <c r="AI11" s="56">
        <f>IF(AF11="0","0",O11/AF11)</f>
        <v>62.539100043687199</v>
      </c>
      <c r="AJ11" s="56">
        <f>IF(AG11="0","0",O11/AG11)</f>
        <v>125.0782000873744</v>
      </c>
      <c r="AK11" s="56">
        <f>IF(AH11="0","0",N11/AH11)</f>
        <v>333.54186689966502</v>
      </c>
      <c r="AL11" s="57">
        <f>T11+Z11+AF11</f>
        <v>91.56</v>
      </c>
      <c r="AM11" s="57">
        <f t="shared" ref="AM11" si="37">U11+AA11+AG11</f>
        <v>45.78</v>
      </c>
      <c r="AN11" s="57">
        <f t="shared" ref="AN11" si="38">V11+AB11+AH11</f>
        <v>34.335000000000001</v>
      </c>
      <c r="AO11" s="6" t="str">
        <f t="shared" ref="AO11" si="39">IF(I11="Strap","Tensile",IF(P11&gt;0,"Tensile","Shear"))</f>
        <v>Shear</v>
      </c>
      <c r="AP11" s="6" t="str">
        <f t="shared" ref="AP11" si="40">IF(I11="Strap","Tensile",IF(Q11&gt;0,"Tensile","Shear"))</f>
        <v>Shear</v>
      </c>
      <c r="AQ11" s="6" t="str">
        <f t="shared" ref="AQ11" si="41">IF(I11="Strap","Tensile",IF(R11&gt;0,"Tensile","Shear"))</f>
        <v>Tensile</v>
      </c>
      <c r="AR11" s="58">
        <f t="shared" si="20"/>
        <v>62.539100043687199</v>
      </c>
      <c r="AS11" s="58">
        <f t="shared" si="20"/>
        <v>125.0782000873744</v>
      </c>
      <c r="AT11" s="58">
        <f t="shared" si="20"/>
        <v>333.54186689966502</v>
      </c>
    </row>
    <row r="12" spans="1:46" ht="30" x14ac:dyDescent="0.25">
      <c r="B12" s="36">
        <v>3</v>
      </c>
      <c r="C12" s="113" t="s">
        <v>122</v>
      </c>
      <c r="D12" s="40">
        <v>51</v>
      </c>
      <c r="E12" s="78">
        <f t="shared" ref="E12:E57" si="42">D12*$D$3*$D$4</f>
        <v>2001.24</v>
      </c>
      <c r="F12" s="78">
        <f t="shared" ref="F12:F57" si="43">D12*$D$3*$D$5</f>
        <v>1000.62</v>
      </c>
      <c r="G12" s="78">
        <f t="shared" ref="G12:G57" si="44">D12*$D$3*$D$6</f>
        <v>750.46500000000003</v>
      </c>
      <c r="H12" s="36"/>
      <c r="I12" s="36">
        <v>8.8000000000000007</v>
      </c>
      <c r="J12" s="36" t="s">
        <v>30</v>
      </c>
      <c r="K12" s="49">
        <f>VLOOKUP(J12,'Fastener Data'!$E$3:$G$29,2,FALSE)</f>
        <v>52.292000000000002</v>
      </c>
      <c r="L12" s="26">
        <f>VLOOKUP(I12,'Fastener Data'!$B$3:$C$18,2,FALSE)</f>
        <v>640</v>
      </c>
      <c r="M12" s="26">
        <f t="shared" ref="M12:M28" si="45">L12*0.5</f>
        <v>320</v>
      </c>
      <c r="N12" s="50">
        <f t="shared" ref="N12:N28" si="46">K12*L12</f>
        <v>33466.880000000005</v>
      </c>
      <c r="O12" s="50">
        <f t="shared" ref="O12:O28" si="47">K12*M12</f>
        <v>16733.440000000002</v>
      </c>
      <c r="P12" s="38">
        <v>0</v>
      </c>
      <c r="Q12" s="38">
        <v>4</v>
      </c>
      <c r="R12" s="38">
        <v>0</v>
      </c>
      <c r="S12" s="100">
        <f t="shared" si="6"/>
        <v>4</v>
      </c>
      <c r="T12" s="51" t="str">
        <f t="shared" ref="T12:T64" si="48">IF(P12=0,"0",E12/P12)</f>
        <v>0</v>
      </c>
      <c r="U12" s="51" t="str">
        <f t="shared" ref="U12:U64" si="49">IF(P12=0,"0",F12/P12)</f>
        <v>0</v>
      </c>
      <c r="V12" s="51" t="str">
        <f t="shared" ref="V12:V64" si="50">IF(P12=0,"0",G12/P12)</f>
        <v>0</v>
      </c>
      <c r="W12" s="52" t="str">
        <f t="shared" ref="W12:W64" si="51">IF(T12="0","0",N12/T12)</f>
        <v>0</v>
      </c>
      <c r="X12" s="52" t="str">
        <f t="shared" ref="X12:X64" si="52">IF(U12="0","0",O12/U12)</f>
        <v>0</v>
      </c>
      <c r="Y12" s="52" t="str">
        <f t="shared" ref="Y12:Y64" si="53">IF(V12="0","0",O12/V12)</f>
        <v>0</v>
      </c>
      <c r="Z12" s="53">
        <f t="shared" ref="Z12:Z64" si="54">IF(Q12=0,"0",E12/Q12)</f>
        <v>500.31</v>
      </c>
      <c r="AA12" s="53">
        <f t="shared" ref="AA12:AA64" si="55">IF(Q12=0,"0",F12/Q12)</f>
        <v>250.155</v>
      </c>
      <c r="AB12" s="53">
        <f t="shared" ref="AB12:AB64" si="56">IF(Q12=0,"0",G12/Q12)</f>
        <v>187.61625000000001</v>
      </c>
      <c r="AC12" s="54">
        <f t="shared" ref="AC12:AC64" si="57">IF(Z12="0","0",O12/Z12)</f>
        <v>33.446143391097522</v>
      </c>
      <c r="AD12" s="54">
        <f t="shared" ref="AD12:AD64" si="58">IF(AA12="0","0",N12/AA12)</f>
        <v>133.78457356439009</v>
      </c>
      <c r="AE12" s="54">
        <f t="shared" ref="AE12:AE64" si="59">IF(AB12="0","0",O12/AB12)</f>
        <v>89.189715709593401</v>
      </c>
      <c r="AF12" s="55" t="str">
        <f t="shared" ref="AF12:AF64" si="60">IF(R12=0,"0",E12/R12)</f>
        <v>0</v>
      </c>
      <c r="AG12" s="55" t="str">
        <f t="shared" ref="AG12:AG64" si="61">IF(R12=0,"0",F12/R12)</f>
        <v>0</v>
      </c>
      <c r="AH12" s="55" t="str">
        <f t="shared" ref="AH12:AH64" si="62">IF(R12=0,"0",G12/R12)</f>
        <v>0</v>
      </c>
      <c r="AI12" s="56" t="str">
        <f t="shared" ref="AI12:AI64" si="63">IF(AF12="0","0",O12/AF12)</f>
        <v>0</v>
      </c>
      <c r="AJ12" s="56" t="str">
        <f t="shared" ref="AJ12:AJ64" si="64">IF(AG12="0","0",O12/AG12)</f>
        <v>0</v>
      </c>
      <c r="AK12" s="56" t="str">
        <f t="shared" ref="AK12:AK64" si="65">IF(AH12="0","0",N12/AH12)</f>
        <v>0</v>
      </c>
      <c r="AL12" s="57">
        <f t="shared" ref="AL12:AL64" si="66">T12+Z12+AF12</f>
        <v>500.31</v>
      </c>
      <c r="AM12" s="57">
        <f t="shared" ref="AM12:AM64" si="67">U12+AA12+AG12</f>
        <v>250.155</v>
      </c>
      <c r="AN12" s="57">
        <f t="shared" ref="AN12:AN64" si="68">V12+AB12+AH12</f>
        <v>187.61625000000001</v>
      </c>
      <c r="AO12" s="6" t="str">
        <f t="shared" ref="AO12:AO64" si="69">IF(I12="Strap","Tensile",IF(P12&gt;0,"Tensile","Shear"))</f>
        <v>Shear</v>
      </c>
      <c r="AP12" s="6" t="str">
        <f t="shared" ref="AP12:AP64" si="70">IF(I12="Strap","Tensile",IF(Q12&gt;0,"Tensile","Shear"))</f>
        <v>Tensile</v>
      </c>
      <c r="AQ12" s="6" t="str">
        <f t="shared" ref="AQ12:AQ64" si="71">IF(I12="Strap","Tensile",IF(R12&gt;0,"Tensile","Shear"))</f>
        <v>Shear</v>
      </c>
      <c r="AR12" s="58">
        <f t="shared" ref="AR12:AR64" si="72">W12+AC12+AI12</f>
        <v>33.446143391097522</v>
      </c>
      <c r="AS12" s="58">
        <f t="shared" ref="AS12:AS64" si="73">X12+AD12+AJ12</f>
        <v>133.78457356439009</v>
      </c>
      <c r="AT12" s="58">
        <f t="shared" ref="AT12:AT64" si="74">Y12+AE12+AK12</f>
        <v>89.189715709593401</v>
      </c>
    </row>
    <row r="13" spans="1:46" x14ac:dyDescent="0.25">
      <c r="B13" s="36">
        <v>4</v>
      </c>
      <c r="C13" s="34" t="s">
        <v>112</v>
      </c>
      <c r="D13" s="39">
        <v>10</v>
      </c>
      <c r="E13" s="78">
        <f t="shared" si="42"/>
        <v>392.40000000000003</v>
      </c>
      <c r="F13" s="78">
        <f t="shared" si="43"/>
        <v>196.20000000000002</v>
      </c>
      <c r="G13" s="78">
        <f t="shared" si="44"/>
        <v>147.15</v>
      </c>
      <c r="H13" s="36"/>
      <c r="I13" s="36">
        <v>8.8000000000000007</v>
      </c>
      <c r="J13" s="37" t="s">
        <v>37</v>
      </c>
      <c r="K13" s="49">
        <f>VLOOKUP(J13,'Fastener Data'!$E$3:$G$29,2,FALSE)</f>
        <v>17.893999999999998</v>
      </c>
      <c r="L13" s="26">
        <f>VLOOKUP(I13,'Fastener Data'!$B$3:$C$18,2,FALSE)</f>
        <v>640</v>
      </c>
      <c r="M13" s="26">
        <f t="shared" si="45"/>
        <v>320</v>
      </c>
      <c r="N13" s="50">
        <f t="shared" si="46"/>
        <v>11452.16</v>
      </c>
      <c r="O13" s="50">
        <f t="shared" si="47"/>
        <v>5726.08</v>
      </c>
      <c r="P13" s="38">
        <v>0</v>
      </c>
      <c r="Q13" s="38">
        <v>0</v>
      </c>
      <c r="R13" s="38">
        <v>6</v>
      </c>
      <c r="S13" s="100">
        <f t="shared" si="6"/>
        <v>6</v>
      </c>
      <c r="T13" s="51" t="str">
        <f t="shared" si="48"/>
        <v>0</v>
      </c>
      <c r="U13" s="51" t="str">
        <f t="shared" si="49"/>
        <v>0</v>
      </c>
      <c r="V13" s="51" t="str">
        <f t="shared" si="50"/>
        <v>0</v>
      </c>
      <c r="W13" s="52" t="str">
        <f t="shared" si="51"/>
        <v>0</v>
      </c>
      <c r="X13" s="52" t="str">
        <f t="shared" si="52"/>
        <v>0</v>
      </c>
      <c r="Y13" s="52" t="str">
        <f t="shared" si="53"/>
        <v>0</v>
      </c>
      <c r="Z13" s="53" t="str">
        <f t="shared" si="54"/>
        <v>0</v>
      </c>
      <c r="AA13" s="53" t="str">
        <f t="shared" si="55"/>
        <v>0</v>
      </c>
      <c r="AB13" s="53" t="str">
        <f t="shared" si="56"/>
        <v>0</v>
      </c>
      <c r="AC13" s="54" t="str">
        <f t="shared" si="57"/>
        <v>0</v>
      </c>
      <c r="AD13" s="54" t="str">
        <f t="shared" si="58"/>
        <v>0</v>
      </c>
      <c r="AE13" s="54" t="str">
        <f t="shared" si="59"/>
        <v>0</v>
      </c>
      <c r="AF13" s="55">
        <f t="shared" si="60"/>
        <v>65.400000000000006</v>
      </c>
      <c r="AG13" s="55">
        <f t="shared" si="61"/>
        <v>32.700000000000003</v>
      </c>
      <c r="AH13" s="55">
        <f t="shared" si="62"/>
        <v>24.525000000000002</v>
      </c>
      <c r="AI13" s="56">
        <f t="shared" si="63"/>
        <v>87.554740061162065</v>
      </c>
      <c r="AJ13" s="56">
        <f t="shared" si="64"/>
        <v>175.10948012232413</v>
      </c>
      <c r="AK13" s="56">
        <f t="shared" si="65"/>
        <v>466.95861365953107</v>
      </c>
      <c r="AL13" s="57">
        <f t="shared" si="66"/>
        <v>65.400000000000006</v>
      </c>
      <c r="AM13" s="57">
        <f t="shared" si="67"/>
        <v>32.700000000000003</v>
      </c>
      <c r="AN13" s="57">
        <f t="shared" si="68"/>
        <v>24.525000000000002</v>
      </c>
      <c r="AO13" s="6" t="str">
        <f t="shared" si="69"/>
        <v>Shear</v>
      </c>
      <c r="AP13" s="6" t="str">
        <f t="shared" si="70"/>
        <v>Shear</v>
      </c>
      <c r="AQ13" s="6" t="str">
        <f t="shared" si="71"/>
        <v>Tensile</v>
      </c>
      <c r="AR13" s="58">
        <f t="shared" si="72"/>
        <v>87.554740061162065</v>
      </c>
      <c r="AS13" s="58">
        <f t="shared" si="73"/>
        <v>175.10948012232413</v>
      </c>
      <c r="AT13" s="58">
        <f t="shared" si="74"/>
        <v>466.95861365953107</v>
      </c>
    </row>
    <row r="14" spans="1:46" x14ac:dyDescent="0.25">
      <c r="B14" s="36">
        <v>5</v>
      </c>
      <c r="C14" s="34" t="s">
        <v>113</v>
      </c>
      <c r="D14" s="40">
        <v>13.5</v>
      </c>
      <c r="E14" s="78">
        <f t="shared" si="42"/>
        <v>529.74</v>
      </c>
      <c r="F14" s="78">
        <f t="shared" si="43"/>
        <v>264.87</v>
      </c>
      <c r="G14" s="78">
        <f t="shared" si="44"/>
        <v>198.6525</v>
      </c>
      <c r="H14" s="36"/>
      <c r="I14" s="37" t="s">
        <v>104</v>
      </c>
      <c r="J14" s="37" t="s">
        <v>104</v>
      </c>
      <c r="K14" s="49">
        <f>VLOOKUP(J14,'Fastener Data'!$E$3:$G$29,2,FALSE)</f>
        <v>1</v>
      </c>
      <c r="L14" s="26">
        <f>VLOOKUP(I14,'Fastener Data'!$B$3:$C$18,2,FALSE)</f>
        <v>2500</v>
      </c>
      <c r="M14" s="26">
        <f>L14</f>
        <v>2500</v>
      </c>
      <c r="N14" s="50">
        <f t="shared" si="46"/>
        <v>2500</v>
      </c>
      <c r="O14" s="50">
        <f t="shared" si="47"/>
        <v>2500</v>
      </c>
      <c r="P14" s="38">
        <v>1</v>
      </c>
      <c r="Q14" s="38">
        <v>0</v>
      </c>
      <c r="R14" s="38">
        <v>0</v>
      </c>
      <c r="S14" s="100">
        <f t="shared" si="6"/>
        <v>1</v>
      </c>
      <c r="T14" s="51">
        <f t="shared" si="48"/>
        <v>529.74</v>
      </c>
      <c r="U14" s="51">
        <f t="shared" si="49"/>
        <v>264.87</v>
      </c>
      <c r="V14" s="51">
        <f t="shared" si="50"/>
        <v>198.6525</v>
      </c>
      <c r="W14" s="52">
        <f t="shared" si="51"/>
        <v>4.7192962585419265</v>
      </c>
      <c r="X14" s="52">
        <f t="shared" si="52"/>
        <v>9.4385925170838529</v>
      </c>
      <c r="Y14" s="52">
        <f t="shared" si="53"/>
        <v>12.584790022778471</v>
      </c>
      <c r="Z14" s="53" t="str">
        <f t="shared" si="54"/>
        <v>0</v>
      </c>
      <c r="AA14" s="53" t="str">
        <f t="shared" si="55"/>
        <v>0</v>
      </c>
      <c r="AB14" s="53" t="str">
        <f t="shared" si="56"/>
        <v>0</v>
      </c>
      <c r="AC14" s="54" t="str">
        <f t="shared" si="57"/>
        <v>0</v>
      </c>
      <c r="AD14" s="54" t="str">
        <f t="shared" si="58"/>
        <v>0</v>
      </c>
      <c r="AE14" s="54" t="str">
        <f t="shared" si="59"/>
        <v>0</v>
      </c>
      <c r="AF14" s="55" t="str">
        <f t="shared" si="60"/>
        <v>0</v>
      </c>
      <c r="AG14" s="55" t="str">
        <f t="shared" si="61"/>
        <v>0</v>
      </c>
      <c r="AH14" s="55" t="str">
        <f t="shared" si="62"/>
        <v>0</v>
      </c>
      <c r="AI14" s="56" t="str">
        <f t="shared" si="63"/>
        <v>0</v>
      </c>
      <c r="AJ14" s="56" t="str">
        <f t="shared" si="64"/>
        <v>0</v>
      </c>
      <c r="AK14" s="56" t="str">
        <f t="shared" si="65"/>
        <v>0</v>
      </c>
      <c r="AL14" s="57">
        <f t="shared" si="66"/>
        <v>529.74</v>
      </c>
      <c r="AM14" s="57">
        <f t="shared" si="67"/>
        <v>264.87</v>
      </c>
      <c r="AN14" s="57">
        <f t="shared" si="68"/>
        <v>198.6525</v>
      </c>
      <c r="AO14" s="6" t="str">
        <f t="shared" si="69"/>
        <v>Tensile</v>
      </c>
      <c r="AP14" s="6" t="str">
        <f t="shared" si="70"/>
        <v>Shear</v>
      </c>
      <c r="AQ14" s="6" t="str">
        <f t="shared" si="71"/>
        <v>Shear</v>
      </c>
      <c r="AR14" s="58">
        <f t="shared" si="72"/>
        <v>4.7192962585419265</v>
      </c>
      <c r="AS14" s="58">
        <f t="shared" si="73"/>
        <v>9.4385925170838529</v>
      </c>
      <c r="AT14" s="58">
        <f t="shared" si="74"/>
        <v>12.584790022778471</v>
      </c>
    </row>
    <row r="15" spans="1:46" x14ac:dyDescent="0.25">
      <c r="B15" s="36">
        <v>6</v>
      </c>
      <c r="C15" s="34" t="s">
        <v>119</v>
      </c>
      <c r="D15" s="40">
        <v>2</v>
      </c>
      <c r="E15" s="78">
        <f t="shared" si="42"/>
        <v>78.48</v>
      </c>
      <c r="F15" s="78">
        <f t="shared" si="43"/>
        <v>39.24</v>
      </c>
      <c r="G15" s="78">
        <f t="shared" si="44"/>
        <v>29.43</v>
      </c>
      <c r="H15" s="36"/>
      <c r="I15" s="37" t="s">
        <v>104</v>
      </c>
      <c r="J15" s="37" t="s">
        <v>104</v>
      </c>
      <c r="K15" s="49">
        <f>VLOOKUP(J15,'Fastener Data'!$E$3:$G$29,2,FALSE)</f>
        <v>1</v>
      </c>
      <c r="L15" s="26">
        <f>VLOOKUP(I15,'Fastener Data'!$B$3:$C$18,2,FALSE)</f>
        <v>2500</v>
      </c>
      <c r="M15" s="26">
        <f>L15</f>
        <v>2500</v>
      </c>
      <c r="N15" s="50">
        <f t="shared" si="46"/>
        <v>2500</v>
      </c>
      <c r="O15" s="50">
        <f t="shared" si="47"/>
        <v>2500</v>
      </c>
      <c r="P15" s="38">
        <v>1</v>
      </c>
      <c r="Q15" s="38">
        <v>0</v>
      </c>
      <c r="R15" s="38">
        <v>0</v>
      </c>
      <c r="S15" s="100">
        <f t="shared" si="6"/>
        <v>1</v>
      </c>
      <c r="T15" s="51">
        <f t="shared" si="48"/>
        <v>78.48</v>
      </c>
      <c r="U15" s="51">
        <f t="shared" si="49"/>
        <v>39.24</v>
      </c>
      <c r="V15" s="51">
        <f t="shared" si="50"/>
        <v>29.43</v>
      </c>
      <c r="W15" s="52">
        <f t="shared" si="51"/>
        <v>31.855249745158002</v>
      </c>
      <c r="X15" s="52">
        <f t="shared" si="52"/>
        <v>63.710499490316003</v>
      </c>
      <c r="Y15" s="52">
        <f t="shared" si="53"/>
        <v>84.947332653754671</v>
      </c>
      <c r="Z15" s="53" t="str">
        <f t="shared" si="54"/>
        <v>0</v>
      </c>
      <c r="AA15" s="53" t="str">
        <f t="shared" si="55"/>
        <v>0</v>
      </c>
      <c r="AB15" s="53" t="str">
        <f t="shared" si="56"/>
        <v>0</v>
      </c>
      <c r="AC15" s="54" t="str">
        <f t="shared" si="57"/>
        <v>0</v>
      </c>
      <c r="AD15" s="54" t="str">
        <f t="shared" si="58"/>
        <v>0</v>
      </c>
      <c r="AE15" s="54" t="str">
        <f t="shared" si="59"/>
        <v>0</v>
      </c>
      <c r="AF15" s="55" t="str">
        <f t="shared" si="60"/>
        <v>0</v>
      </c>
      <c r="AG15" s="55" t="str">
        <f t="shared" si="61"/>
        <v>0</v>
      </c>
      <c r="AH15" s="55" t="str">
        <f t="shared" si="62"/>
        <v>0</v>
      </c>
      <c r="AI15" s="56" t="str">
        <f t="shared" si="63"/>
        <v>0</v>
      </c>
      <c r="AJ15" s="56" t="str">
        <f t="shared" si="64"/>
        <v>0</v>
      </c>
      <c r="AK15" s="56" t="str">
        <f t="shared" si="65"/>
        <v>0</v>
      </c>
      <c r="AL15" s="57">
        <f t="shared" si="66"/>
        <v>78.48</v>
      </c>
      <c r="AM15" s="57">
        <f t="shared" si="67"/>
        <v>39.24</v>
      </c>
      <c r="AN15" s="57">
        <f t="shared" si="68"/>
        <v>29.43</v>
      </c>
      <c r="AO15" s="6" t="str">
        <f t="shared" si="69"/>
        <v>Tensile</v>
      </c>
      <c r="AP15" s="6" t="str">
        <f t="shared" si="70"/>
        <v>Shear</v>
      </c>
      <c r="AQ15" s="6" t="str">
        <f t="shared" si="71"/>
        <v>Shear</v>
      </c>
      <c r="AR15" s="58">
        <f t="shared" si="72"/>
        <v>31.855249745158002</v>
      </c>
      <c r="AS15" s="58">
        <f t="shared" si="73"/>
        <v>63.710499490316003</v>
      </c>
      <c r="AT15" s="58">
        <f t="shared" si="74"/>
        <v>84.947332653754671</v>
      </c>
    </row>
    <row r="16" spans="1:46" x14ac:dyDescent="0.25">
      <c r="B16" s="36">
        <v>7</v>
      </c>
      <c r="C16" s="34" t="s">
        <v>140</v>
      </c>
      <c r="D16" s="40">
        <v>1</v>
      </c>
      <c r="E16" s="78">
        <f t="shared" ref="E16" si="75">D16*$D$3*$D$4</f>
        <v>39.24</v>
      </c>
      <c r="F16" s="78">
        <f t="shared" ref="F16" si="76">D16*$D$3*$D$5</f>
        <v>19.62</v>
      </c>
      <c r="G16" s="78">
        <f t="shared" ref="G16" si="77">D16*$D$3*$D$6</f>
        <v>14.715</v>
      </c>
      <c r="H16" s="36"/>
      <c r="I16" s="37" t="s">
        <v>104</v>
      </c>
      <c r="J16" s="37" t="s">
        <v>104</v>
      </c>
      <c r="K16" s="49">
        <f>VLOOKUP(J16,'Fastener Data'!$E$3:$G$29,2,FALSE)</f>
        <v>1</v>
      </c>
      <c r="L16" s="26">
        <f>VLOOKUP(I16,'Fastener Data'!$B$3:$C$18,2,FALSE)</f>
        <v>2500</v>
      </c>
      <c r="M16" s="26">
        <f>L16</f>
        <v>2500</v>
      </c>
      <c r="N16" s="50">
        <f t="shared" ref="N16" si="78">K16*L16</f>
        <v>2500</v>
      </c>
      <c r="O16" s="50">
        <f t="shared" ref="O16" si="79">K16*M16</f>
        <v>2500</v>
      </c>
      <c r="P16" s="38">
        <v>1</v>
      </c>
      <c r="Q16" s="38">
        <v>0</v>
      </c>
      <c r="R16" s="38">
        <v>0</v>
      </c>
      <c r="S16" s="100">
        <f t="shared" ref="S16" si="80">SUM(P16:R16)</f>
        <v>1</v>
      </c>
      <c r="T16" s="51">
        <f t="shared" ref="T16" si="81">IF(P16=0,"0",E16/P16)</f>
        <v>39.24</v>
      </c>
      <c r="U16" s="51">
        <f t="shared" ref="U16" si="82">IF(P16=0,"0",F16/P16)</f>
        <v>19.62</v>
      </c>
      <c r="V16" s="51">
        <f t="shared" ref="V16" si="83">IF(P16=0,"0",G16/P16)</f>
        <v>14.715</v>
      </c>
      <c r="W16" s="52">
        <f t="shared" ref="W16" si="84">IF(T16="0","0",N16/T16)</f>
        <v>63.710499490316003</v>
      </c>
      <c r="X16" s="52">
        <f t="shared" ref="X16" si="85">IF(U16="0","0",O16/U16)</f>
        <v>127.42099898063201</v>
      </c>
      <c r="Y16" s="52">
        <f t="shared" ref="Y16" si="86">IF(V16="0","0",O16/V16)</f>
        <v>169.89466530750934</v>
      </c>
      <c r="Z16" s="53" t="str">
        <f t="shared" ref="Z16" si="87">IF(Q16=0,"0",E16/Q16)</f>
        <v>0</v>
      </c>
      <c r="AA16" s="53" t="str">
        <f t="shared" ref="AA16" si="88">IF(Q16=0,"0",F16/Q16)</f>
        <v>0</v>
      </c>
      <c r="AB16" s="53" t="str">
        <f t="shared" ref="AB16" si="89">IF(Q16=0,"0",G16/Q16)</f>
        <v>0</v>
      </c>
      <c r="AC16" s="54" t="str">
        <f t="shared" ref="AC16" si="90">IF(Z16="0","0",O16/Z16)</f>
        <v>0</v>
      </c>
      <c r="AD16" s="54" t="str">
        <f t="shared" ref="AD16" si="91">IF(AA16="0","0",N16/AA16)</f>
        <v>0</v>
      </c>
      <c r="AE16" s="54" t="str">
        <f t="shared" ref="AE16" si="92">IF(AB16="0","0",O16/AB16)</f>
        <v>0</v>
      </c>
      <c r="AF16" s="55" t="str">
        <f t="shared" ref="AF16" si="93">IF(R16=0,"0",E16/R16)</f>
        <v>0</v>
      </c>
      <c r="AG16" s="55" t="str">
        <f t="shared" ref="AG16" si="94">IF(R16=0,"0",F16/R16)</f>
        <v>0</v>
      </c>
      <c r="AH16" s="55" t="str">
        <f t="shared" ref="AH16" si="95">IF(R16=0,"0",G16/R16)</f>
        <v>0</v>
      </c>
      <c r="AI16" s="56" t="str">
        <f t="shared" ref="AI16" si="96">IF(AF16="0","0",O16/AF16)</f>
        <v>0</v>
      </c>
      <c r="AJ16" s="56" t="str">
        <f t="shared" ref="AJ16" si="97">IF(AG16="0","0",O16/AG16)</f>
        <v>0</v>
      </c>
      <c r="AK16" s="56" t="str">
        <f t="shared" ref="AK16" si="98">IF(AH16="0","0",N16/AH16)</f>
        <v>0</v>
      </c>
      <c r="AL16" s="57">
        <f t="shared" ref="AL16" si="99">T16+Z16+AF16</f>
        <v>39.24</v>
      </c>
      <c r="AM16" s="57">
        <f t="shared" ref="AM16" si="100">U16+AA16+AG16</f>
        <v>19.62</v>
      </c>
      <c r="AN16" s="57">
        <f t="shared" ref="AN16" si="101">V16+AB16+AH16</f>
        <v>14.715</v>
      </c>
      <c r="AO16" s="6" t="str">
        <f t="shared" ref="AO16" si="102">IF(I16="Strap","Tensile",IF(P16&gt;0,"Tensile","Shear"))</f>
        <v>Tensile</v>
      </c>
      <c r="AP16" s="6" t="str">
        <f t="shared" ref="AP16" si="103">IF(I16="Strap","Tensile",IF(Q16&gt;0,"Tensile","Shear"))</f>
        <v>Shear</v>
      </c>
      <c r="AQ16" s="6" t="str">
        <f t="shared" ref="AQ16" si="104">IF(I16="Strap","Tensile",IF(R16&gt;0,"Tensile","Shear"))</f>
        <v>Shear</v>
      </c>
      <c r="AR16" s="58">
        <f t="shared" ref="AR16" si="105">W16+AC16+AI16</f>
        <v>63.710499490316003</v>
      </c>
      <c r="AS16" s="58">
        <f t="shared" ref="AS16" si="106">X16+AD16+AJ16</f>
        <v>127.42099898063201</v>
      </c>
      <c r="AT16" s="58">
        <f t="shared" ref="AT16" si="107">Y16+AE16+AK16</f>
        <v>169.89466530750934</v>
      </c>
    </row>
    <row r="17" spans="2:46" x14ac:dyDescent="0.25">
      <c r="B17" s="36">
        <v>8</v>
      </c>
      <c r="C17" s="34" t="s">
        <v>153</v>
      </c>
      <c r="D17" s="41">
        <v>4</v>
      </c>
      <c r="E17" s="78">
        <f t="shared" si="42"/>
        <v>156.96</v>
      </c>
      <c r="F17" s="78">
        <f t="shared" si="43"/>
        <v>78.48</v>
      </c>
      <c r="G17" s="78">
        <f t="shared" si="44"/>
        <v>58.86</v>
      </c>
      <c r="H17" s="36" t="s">
        <v>98</v>
      </c>
      <c r="I17" s="36">
        <v>8.8000000000000007</v>
      </c>
      <c r="J17" s="37" t="s">
        <v>37</v>
      </c>
      <c r="K17" s="49">
        <f>VLOOKUP(J17,'Fastener Data'!$E$3:$G$29,2,FALSE)</f>
        <v>17.893999999999998</v>
      </c>
      <c r="L17" s="26">
        <f>VLOOKUP(I17,'Fastener Data'!$B$3:$C$18,2,FALSE)</f>
        <v>640</v>
      </c>
      <c r="M17" s="26">
        <f t="shared" si="45"/>
        <v>320</v>
      </c>
      <c r="N17" s="50">
        <f t="shared" si="46"/>
        <v>11452.16</v>
      </c>
      <c r="O17" s="50">
        <f t="shared" si="47"/>
        <v>5726.08</v>
      </c>
      <c r="P17" s="38">
        <v>3</v>
      </c>
      <c r="Q17" s="38">
        <v>0</v>
      </c>
      <c r="R17" s="38">
        <v>0</v>
      </c>
      <c r="S17" s="100">
        <f t="shared" si="6"/>
        <v>3</v>
      </c>
      <c r="T17" s="51">
        <f t="shared" si="48"/>
        <v>52.32</v>
      </c>
      <c r="U17" s="51">
        <f t="shared" si="49"/>
        <v>26.16</v>
      </c>
      <c r="V17" s="51">
        <f t="shared" si="50"/>
        <v>19.62</v>
      </c>
      <c r="W17" s="52">
        <f t="shared" si="51"/>
        <v>218.8868501529052</v>
      </c>
      <c r="X17" s="52">
        <f t="shared" si="52"/>
        <v>218.8868501529052</v>
      </c>
      <c r="Y17" s="52">
        <f t="shared" si="53"/>
        <v>291.84913353720691</v>
      </c>
      <c r="Z17" s="53" t="str">
        <f t="shared" si="54"/>
        <v>0</v>
      </c>
      <c r="AA17" s="53" t="str">
        <f t="shared" si="55"/>
        <v>0</v>
      </c>
      <c r="AB17" s="53" t="str">
        <f t="shared" si="56"/>
        <v>0</v>
      </c>
      <c r="AC17" s="54" t="str">
        <f t="shared" si="57"/>
        <v>0</v>
      </c>
      <c r="AD17" s="54" t="str">
        <f t="shared" si="58"/>
        <v>0</v>
      </c>
      <c r="AE17" s="54" t="str">
        <f t="shared" si="59"/>
        <v>0</v>
      </c>
      <c r="AF17" s="55" t="str">
        <f t="shared" si="60"/>
        <v>0</v>
      </c>
      <c r="AG17" s="55" t="str">
        <f t="shared" si="61"/>
        <v>0</v>
      </c>
      <c r="AH17" s="55" t="str">
        <f t="shared" si="62"/>
        <v>0</v>
      </c>
      <c r="AI17" s="56" t="str">
        <f t="shared" si="63"/>
        <v>0</v>
      </c>
      <c r="AJ17" s="56" t="str">
        <f t="shared" si="64"/>
        <v>0</v>
      </c>
      <c r="AK17" s="56" t="str">
        <f t="shared" si="65"/>
        <v>0</v>
      </c>
      <c r="AL17" s="57">
        <f t="shared" si="66"/>
        <v>52.32</v>
      </c>
      <c r="AM17" s="57">
        <f t="shared" si="67"/>
        <v>26.16</v>
      </c>
      <c r="AN17" s="57">
        <f t="shared" si="68"/>
        <v>19.62</v>
      </c>
      <c r="AO17" s="6" t="str">
        <f t="shared" si="69"/>
        <v>Tensile</v>
      </c>
      <c r="AP17" s="6" t="str">
        <f t="shared" si="70"/>
        <v>Shear</v>
      </c>
      <c r="AQ17" s="6" t="str">
        <f t="shared" si="71"/>
        <v>Shear</v>
      </c>
      <c r="AR17" s="58">
        <f t="shared" si="72"/>
        <v>218.8868501529052</v>
      </c>
      <c r="AS17" s="58">
        <f t="shared" si="73"/>
        <v>218.8868501529052</v>
      </c>
      <c r="AT17" s="58">
        <f t="shared" si="74"/>
        <v>291.84913353720691</v>
      </c>
    </row>
    <row r="18" spans="2:46" x14ac:dyDescent="0.25">
      <c r="B18" s="36">
        <v>9</v>
      </c>
      <c r="C18" s="34" t="s">
        <v>138</v>
      </c>
      <c r="D18" s="40">
        <v>10</v>
      </c>
      <c r="E18" s="78">
        <f t="shared" ref="E18" si="108">D18*$D$3*$D$4</f>
        <v>392.40000000000003</v>
      </c>
      <c r="F18" s="78">
        <f t="shared" ref="F18" si="109">D18*$D$3*$D$5</f>
        <v>196.20000000000002</v>
      </c>
      <c r="G18" s="78">
        <f t="shared" ref="G18" si="110">D18*$D$3*$D$6</f>
        <v>147.15</v>
      </c>
      <c r="H18" s="36"/>
      <c r="I18" s="37" t="s">
        <v>104</v>
      </c>
      <c r="J18" s="37" t="s">
        <v>104</v>
      </c>
      <c r="K18" s="49">
        <v>1</v>
      </c>
      <c r="L18" s="26">
        <f>VLOOKUP(I18,'Fastener Data'!$B$3:$C$18,2,FALSE)</f>
        <v>2500</v>
      </c>
      <c r="M18" s="26">
        <f>L18</f>
        <v>2500</v>
      </c>
      <c r="N18" s="50">
        <f t="shared" ref="N18" si="111">K18*L18</f>
        <v>2500</v>
      </c>
      <c r="O18" s="50">
        <f t="shared" ref="O18" si="112">K18*M18</f>
        <v>2500</v>
      </c>
      <c r="P18" s="38">
        <v>2</v>
      </c>
      <c r="Q18" s="38">
        <v>0</v>
      </c>
      <c r="R18" s="38">
        <v>0</v>
      </c>
      <c r="S18" s="100">
        <f t="shared" ref="S18" si="113">SUM(P18:R18)</f>
        <v>2</v>
      </c>
      <c r="T18" s="51">
        <f t="shared" ref="T18" si="114">IF(P18=0,"0",E18/P18)</f>
        <v>196.20000000000002</v>
      </c>
      <c r="U18" s="51">
        <f t="shared" ref="U18" si="115">IF(P18=0,"0",F18/P18)</f>
        <v>98.100000000000009</v>
      </c>
      <c r="V18" s="51">
        <f t="shared" ref="V18" si="116">IF(P18=0,"0",G18/P18)</f>
        <v>73.575000000000003</v>
      </c>
      <c r="W18" s="52">
        <f t="shared" ref="W18" si="117">IF(T18="0","0",N18/T18)</f>
        <v>12.7420998980632</v>
      </c>
      <c r="X18" s="52">
        <f t="shared" ref="X18" si="118">IF(U18="0","0",O18/U18)</f>
        <v>25.484199796126401</v>
      </c>
      <c r="Y18" s="52">
        <f t="shared" ref="Y18" si="119">IF(V18="0","0",O18/V18)</f>
        <v>33.97893306150187</v>
      </c>
      <c r="Z18" s="53" t="str">
        <f t="shared" ref="Z18" si="120">IF(Q18=0,"0",E18/Q18)</f>
        <v>0</v>
      </c>
      <c r="AA18" s="53" t="str">
        <f t="shared" ref="AA18" si="121">IF(Q18=0,"0",F18/Q18)</f>
        <v>0</v>
      </c>
      <c r="AB18" s="53" t="str">
        <f t="shared" ref="AB18" si="122">IF(Q18=0,"0",G18/Q18)</f>
        <v>0</v>
      </c>
      <c r="AC18" s="54" t="str">
        <f t="shared" ref="AC18" si="123">IF(Z18="0","0",O18/Z18)</f>
        <v>0</v>
      </c>
      <c r="AD18" s="54" t="str">
        <f t="shared" ref="AD18" si="124">IF(AA18="0","0",N18/AA18)</f>
        <v>0</v>
      </c>
      <c r="AE18" s="54" t="str">
        <f t="shared" ref="AE18" si="125">IF(AB18="0","0",O18/AB18)</f>
        <v>0</v>
      </c>
      <c r="AF18" s="55" t="str">
        <f t="shared" ref="AF18" si="126">IF(R18=0,"0",E18/R18)</f>
        <v>0</v>
      </c>
      <c r="AG18" s="55" t="str">
        <f t="shared" ref="AG18" si="127">IF(R18=0,"0",F18/R18)</f>
        <v>0</v>
      </c>
      <c r="AH18" s="55" t="str">
        <f t="shared" ref="AH18" si="128">IF(R18=0,"0",G18/R18)</f>
        <v>0</v>
      </c>
      <c r="AI18" s="56" t="str">
        <f t="shared" ref="AI18" si="129">IF(AF18="0","0",O18/AF18)</f>
        <v>0</v>
      </c>
      <c r="AJ18" s="56" t="str">
        <f t="shared" ref="AJ18" si="130">IF(AG18="0","0",O18/AG18)</f>
        <v>0</v>
      </c>
      <c r="AK18" s="56" t="str">
        <f t="shared" ref="AK18" si="131">IF(AH18="0","0",N18/AH18)</f>
        <v>0</v>
      </c>
      <c r="AL18" s="57">
        <f t="shared" ref="AL18" si="132">T18+Z18+AF18</f>
        <v>196.20000000000002</v>
      </c>
      <c r="AM18" s="57">
        <f t="shared" ref="AM18" si="133">U18+AA18+AG18</f>
        <v>98.100000000000009</v>
      </c>
      <c r="AN18" s="57">
        <f t="shared" ref="AN18" si="134">V18+AB18+AH18</f>
        <v>73.575000000000003</v>
      </c>
      <c r="AO18" s="6" t="str">
        <f t="shared" ref="AO18" si="135">IF(I18="Strap","Tensile",IF(P18&gt;0,"Tensile","Shear"))</f>
        <v>Tensile</v>
      </c>
      <c r="AP18" s="6" t="str">
        <f t="shared" ref="AP18" si="136">IF(I18="Strap","Tensile",IF(Q18&gt;0,"Tensile","Shear"))</f>
        <v>Shear</v>
      </c>
      <c r="AQ18" s="6" t="str">
        <f t="shared" ref="AQ18" si="137">IF(I18="Strap","Tensile",IF(R18&gt;0,"Tensile","Shear"))</f>
        <v>Shear</v>
      </c>
      <c r="AR18" s="58">
        <f t="shared" ref="AR18" si="138">W18+AC18+AI18</f>
        <v>12.7420998980632</v>
      </c>
      <c r="AS18" s="58">
        <f t="shared" ref="AS18" si="139">X18+AD18+AJ18</f>
        <v>25.484199796126401</v>
      </c>
      <c r="AT18" s="58">
        <f t="shared" ref="AT18" si="140">Y18+AE18+AK18</f>
        <v>33.97893306150187</v>
      </c>
    </row>
    <row r="19" spans="2:46" x14ac:dyDescent="0.25">
      <c r="B19" s="36">
        <v>10</v>
      </c>
      <c r="C19" s="35" t="s">
        <v>114</v>
      </c>
      <c r="D19" s="39">
        <v>10</v>
      </c>
      <c r="E19" s="78">
        <f t="shared" si="42"/>
        <v>392.40000000000003</v>
      </c>
      <c r="F19" s="78">
        <f t="shared" si="43"/>
        <v>196.20000000000002</v>
      </c>
      <c r="G19" s="78">
        <f t="shared" si="44"/>
        <v>147.15</v>
      </c>
      <c r="H19" s="36"/>
      <c r="I19" s="37">
        <v>8.8000000000000007</v>
      </c>
      <c r="J19" s="37" t="s">
        <v>37</v>
      </c>
      <c r="K19" s="49">
        <f>VLOOKUP(J19,'Fastener Data'!$E$3:$G$29,2,FALSE)</f>
        <v>17.893999999999998</v>
      </c>
      <c r="L19" s="26">
        <f>VLOOKUP(I19,'Fastener Data'!$B$3:$C$18,2,FALSE)</f>
        <v>640</v>
      </c>
      <c r="M19" s="26">
        <f t="shared" si="45"/>
        <v>320</v>
      </c>
      <c r="N19" s="50">
        <f t="shared" si="46"/>
        <v>11452.16</v>
      </c>
      <c r="O19" s="50">
        <f t="shared" si="47"/>
        <v>5726.08</v>
      </c>
      <c r="P19" s="38">
        <v>4</v>
      </c>
      <c r="Q19" s="38">
        <v>0</v>
      </c>
      <c r="R19" s="38">
        <v>0</v>
      </c>
      <c r="S19" s="100">
        <f t="shared" si="6"/>
        <v>4</v>
      </c>
      <c r="T19" s="51">
        <f t="shared" si="48"/>
        <v>98.100000000000009</v>
      </c>
      <c r="U19" s="51">
        <f t="shared" si="49"/>
        <v>49.050000000000004</v>
      </c>
      <c r="V19" s="51">
        <f t="shared" si="50"/>
        <v>36.787500000000001</v>
      </c>
      <c r="W19" s="52">
        <f t="shared" si="51"/>
        <v>116.73965341488277</v>
      </c>
      <c r="X19" s="52">
        <f t="shared" si="52"/>
        <v>116.73965341488277</v>
      </c>
      <c r="Y19" s="52">
        <f t="shared" si="53"/>
        <v>155.65287121984369</v>
      </c>
      <c r="Z19" s="53" t="str">
        <f t="shared" si="54"/>
        <v>0</v>
      </c>
      <c r="AA19" s="53" t="str">
        <f t="shared" si="55"/>
        <v>0</v>
      </c>
      <c r="AB19" s="53" t="str">
        <f t="shared" si="56"/>
        <v>0</v>
      </c>
      <c r="AC19" s="54" t="str">
        <f t="shared" si="57"/>
        <v>0</v>
      </c>
      <c r="AD19" s="54" t="str">
        <f t="shared" si="58"/>
        <v>0</v>
      </c>
      <c r="AE19" s="54" t="str">
        <f t="shared" si="59"/>
        <v>0</v>
      </c>
      <c r="AF19" s="55" t="str">
        <f t="shared" si="60"/>
        <v>0</v>
      </c>
      <c r="AG19" s="55" t="str">
        <f t="shared" si="61"/>
        <v>0</v>
      </c>
      <c r="AH19" s="55" t="str">
        <f t="shared" si="62"/>
        <v>0</v>
      </c>
      <c r="AI19" s="56" t="str">
        <f t="shared" si="63"/>
        <v>0</v>
      </c>
      <c r="AJ19" s="56" t="str">
        <f t="shared" si="64"/>
        <v>0</v>
      </c>
      <c r="AK19" s="56" t="str">
        <f t="shared" si="65"/>
        <v>0</v>
      </c>
      <c r="AL19" s="57">
        <f t="shared" si="66"/>
        <v>98.100000000000009</v>
      </c>
      <c r="AM19" s="57">
        <f t="shared" si="67"/>
        <v>49.050000000000004</v>
      </c>
      <c r="AN19" s="57">
        <f t="shared" si="68"/>
        <v>36.787500000000001</v>
      </c>
      <c r="AO19" s="6" t="str">
        <f t="shared" si="69"/>
        <v>Tensile</v>
      </c>
      <c r="AP19" s="6" t="str">
        <f t="shared" si="70"/>
        <v>Shear</v>
      </c>
      <c r="AQ19" s="6" t="str">
        <f t="shared" si="71"/>
        <v>Shear</v>
      </c>
      <c r="AR19" s="58">
        <f t="shared" si="72"/>
        <v>116.73965341488277</v>
      </c>
      <c r="AS19" s="58">
        <f t="shared" si="73"/>
        <v>116.73965341488277</v>
      </c>
      <c r="AT19" s="58">
        <f t="shared" si="74"/>
        <v>155.65287121984369</v>
      </c>
    </row>
    <row r="20" spans="2:46" x14ac:dyDescent="0.25">
      <c r="B20" s="36">
        <v>11</v>
      </c>
      <c r="C20" s="34" t="s">
        <v>120</v>
      </c>
      <c r="D20" s="41">
        <v>1269</v>
      </c>
      <c r="E20" s="78">
        <f t="shared" si="42"/>
        <v>49795.560000000005</v>
      </c>
      <c r="F20" s="78">
        <f t="shared" si="43"/>
        <v>24897.780000000002</v>
      </c>
      <c r="G20" s="78">
        <f t="shared" si="44"/>
        <v>18673.335000000003</v>
      </c>
      <c r="H20" s="36"/>
      <c r="I20" s="36">
        <v>8.8000000000000007</v>
      </c>
      <c r="J20" s="37" t="s">
        <v>39</v>
      </c>
      <c r="K20" s="49">
        <f>VLOOKUP(J20,'Fastener Data'!$E$3:$G$29,2,FALSE)</f>
        <v>76.247</v>
      </c>
      <c r="L20" s="26">
        <f>VLOOKUP(I20,'Fastener Data'!$B$3:$C$18,2,FALSE)</f>
        <v>640</v>
      </c>
      <c r="M20" s="26">
        <f t="shared" si="45"/>
        <v>320</v>
      </c>
      <c r="N20" s="50">
        <f t="shared" si="46"/>
        <v>48798.080000000002</v>
      </c>
      <c r="O20" s="50">
        <f t="shared" si="47"/>
        <v>24399.040000000001</v>
      </c>
      <c r="P20" s="38">
        <v>0</v>
      </c>
      <c r="Q20" s="38">
        <v>10</v>
      </c>
      <c r="R20" s="38">
        <v>0</v>
      </c>
      <c r="S20" s="100">
        <f t="shared" si="6"/>
        <v>10</v>
      </c>
      <c r="T20" s="51" t="str">
        <f t="shared" si="48"/>
        <v>0</v>
      </c>
      <c r="U20" s="51" t="str">
        <f t="shared" si="49"/>
        <v>0</v>
      </c>
      <c r="V20" s="51" t="str">
        <f t="shared" si="50"/>
        <v>0</v>
      </c>
      <c r="W20" s="52" t="str">
        <f t="shared" si="51"/>
        <v>0</v>
      </c>
      <c r="X20" s="52" t="str">
        <f t="shared" si="52"/>
        <v>0</v>
      </c>
      <c r="Y20" s="52" t="str">
        <f t="shared" si="53"/>
        <v>0</v>
      </c>
      <c r="Z20" s="53">
        <f t="shared" si="54"/>
        <v>4979.5560000000005</v>
      </c>
      <c r="AA20" s="53">
        <f t="shared" si="55"/>
        <v>2489.7780000000002</v>
      </c>
      <c r="AB20" s="53">
        <f t="shared" si="56"/>
        <v>1867.3335000000002</v>
      </c>
      <c r="AC20" s="54">
        <f t="shared" si="57"/>
        <v>4.8998424759155235</v>
      </c>
      <c r="AD20" s="54">
        <f t="shared" si="58"/>
        <v>19.599369903662094</v>
      </c>
      <c r="AE20" s="54">
        <f t="shared" si="59"/>
        <v>13.066246602441394</v>
      </c>
      <c r="AF20" s="55" t="str">
        <f t="shared" si="60"/>
        <v>0</v>
      </c>
      <c r="AG20" s="55" t="str">
        <f t="shared" si="61"/>
        <v>0</v>
      </c>
      <c r="AH20" s="55" t="str">
        <f t="shared" si="62"/>
        <v>0</v>
      </c>
      <c r="AI20" s="56" t="str">
        <f t="shared" si="63"/>
        <v>0</v>
      </c>
      <c r="AJ20" s="56" t="str">
        <f t="shared" si="64"/>
        <v>0</v>
      </c>
      <c r="AK20" s="56" t="str">
        <f t="shared" si="65"/>
        <v>0</v>
      </c>
      <c r="AL20" s="57">
        <f t="shared" si="66"/>
        <v>4979.5560000000005</v>
      </c>
      <c r="AM20" s="57">
        <f t="shared" si="67"/>
        <v>2489.7780000000002</v>
      </c>
      <c r="AN20" s="57">
        <f t="shared" si="68"/>
        <v>1867.3335000000002</v>
      </c>
      <c r="AO20" s="6" t="str">
        <f t="shared" si="69"/>
        <v>Shear</v>
      </c>
      <c r="AP20" s="6" t="str">
        <f t="shared" si="70"/>
        <v>Tensile</v>
      </c>
      <c r="AQ20" s="6" t="str">
        <f t="shared" si="71"/>
        <v>Shear</v>
      </c>
      <c r="AR20" s="58">
        <f t="shared" si="72"/>
        <v>4.8998424759155235</v>
      </c>
      <c r="AS20" s="58">
        <f t="shared" si="73"/>
        <v>19.599369903662094</v>
      </c>
      <c r="AT20" s="58">
        <f t="shared" si="74"/>
        <v>13.066246602441394</v>
      </c>
    </row>
    <row r="21" spans="2:46" ht="30" x14ac:dyDescent="0.25">
      <c r="B21" s="36">
        <v>12</v>
      </c>
      <c r="C21" s="113" t="s">
        <v>172</v>
      </c>
      <c r="D21" s="41">
        <v>20</v>
      </c>
      <c r="E21" s="78">
        <f t="shared" si="42"/>
        <v>784.80000000000007</v>
      </c>
      <c r="F21" s="78">
        <f t="shared" si="43"/>
        <v>392.40000000000003</v>
      </c>
      <c r="G21" s="78">
        <f t="shared" si="44"/>
        <v>294.3</v>
      </c>
      <c r="H21" s="36"/>
      <c r="I21" s="37" t="s">
        <v>108</v>
      </c>
      <c r="J21" s="37" t="s">
        <v>108</v>
      </c>
      <c r="K21" s="49">
        <f>VLOOKUP(J21,'Fastener Data'!$E$3:$G$29,2,FALSE)</f>
        <v>113.09733552923255</v>
      </c>
      <c r="L21" s="26">
        <f>VLOOKUP(I21,'Fastener Data'!$B$3:$C$18,2,FALSE)</f>
        <v>165</v>
      </c>
      <c r="M21" s="26">
        <f t="shared" si="45"/>
        <v>82.5</v>
      </c>
      <c r="N21" s="50">
        <f t="shared" si="46"/>
        <v>18661.060362323373</v>
      </c>
      <c r="O21" s="50">
        <f t="shared" si="47"/>
        <v>9330.5301811616864</v>
      </c>
      <c r="P21" s="38">
        <v>1</v>
      </c>
      <c r="Q21" s="38">
        <v>0</v>
      </c>
      <c r="R21" s="38">
        <v>0</v>
      </c>
      <c r="S21" s="100">
        <f t="shared" si="6"/>
        <v>1</v>
      </c>
      <c r="T21" s="51">
        <f t="shared" si="48"/>
        <v>784.80000000000007</v>
      </c>
      <c r="U21" s="51">
        <f t="shared" si="49"/>
        <v>392.40000000000003</v>
      </c>
      <c r="V21" s="51">
        <f t="shared" si="50"/>
        <v>294.3</v>
      </c>
      <c r="W21" s="52">
        <f t="shared" si="51"/>
        <v>23.778109534051186</v>
      </c>
      <c r="X21" s="52">
        <f t="shared" si="52"/>
        <v>23.778109534051186</v>
      </c>
      <c r="Y21" s="52">
        <f t="shared" si="53"/>
        <v>31.704146045401583</v>
      </c>
      <c r="Z21" s="53" t="str">
        <f t="shared" si="54"/>
        <v>0</v>
      </c>
      <c r="AA21" s="53" t="str">
        <f t="shared" si="55"/>
        <v>0</v>
      </c>
      <c r="AB21" s="53" t="str">
        <f t="shared" si="56"/>
        <v>0</v>
      </c>
      <c r="AC21" s="54" t="str">
        <f t="shared" si="57"/>
        <v>0</v>
      </c>
      <c r="AD21" s="54" t="str">
        <f t="shared" si="58"/>
        <v>0</v>
      </c>
      <c r="AE21" s="54" t="str">
        <f t="shared" si="59"/>
        <v>0</v>
      </c>
      <c r="AF21" s="55" t="str">
        <f t="shared" si="60"/>
        <v>0</v>
      </c>
      <c r="AG21" s="55" t="str">
        <f t="shared" si="61"/>
        <v>0</v>
      </c>
      <c r="AH21" s="55" t="str">
        <f t="shared" si="62"/>
        <v>0</v>
      </c>
      <c r="AI21" s="56" t="str">
        <f t="shared" si="63"/>
        <v>0</v>
      </c>
      <c r="AJ21" s="56" t="str">
        <f t="shared" si="64"/>
        <v>0</v>
      </c>
      <c r="AK21" s="56" t="str">
        <f t="shared" si="65"/>
        <v>0</v>
      </c>
      <c r="AL21" s="57">
        <f t="shared" si="66"/>
        <v>784.80000000000007</v>
      </c>
      <c r="AM21" s="57">
        <f t="shared" si="67"/>
        <v>392.40000000000003</v>
      </c>
      <c r="AN21" s="57">
        <f t="shared" si="68"/>
        <v>294.3</v>
      </c>
      <c r="AO21" s="6" t="str">
        <f t="shared" si="69"/>
        <v>Tensile</v>
      </c>
      <c r="AP21" s="6" t="str">
        <f t="shared" si="70"/>
        <v>Shear</v>
      </c>
      <c r="AQ21" s="6" t="str">
        <f t="shared" si="71"/>
        <v>Shear</v>
      </c>
      <c r="AR21" s="58">
        <f t="shared" si="72"/>
        <v>23.778109534051186</v>
      </c>
      <c r="AS21" s="58">
        <f t="shared" si="73"/>
        <v>23.778109534051186</v>
      </c>
      <c r="AT21" s="58">
        <f t="shared" si="74"/>
        <v>31.704146045401583</v>
      </c>
    </row>
    <row r="22" spans="2:46" ht="29.25" customHeight="1" x14ac:dyDescent="0.25">
      <c r="B22" s="36">
        <v>13</v>
      </c>
      <c r="C22" s="113" t="s">
        <v>162</v>
      </c>
      <c r="D22" s="41">
        <v>35</v>
      </c>
      <c r="E22" s="78">
        <f t="shared" si="42"/>
        <v>1373.4</v>
      </c>
      <c r="F22" s="78">
        <f t="shared" si="43"/>
        <v>686.7</v>
      </c>
      <c r="G22" s="78">
        <f t="shared" si="44"/>
        <v>515.02500000000009</v>
      </c>
      <c r="H22" s="36"/>
      <c r="I22" s="36">
        <v>8.8000000000000007</v>
      </c>
      <c r="J22" s="59" t="s">
        <v>38</v>
      </c>
      <c r="K22" s="49">
        <f>VLOOKUP(J22,'Fastener Data'!$E$3:$G$29,2,FALSE)</f>
        <v>32.841000000000001</v>
      </c>
      <c r="L22" s="26">
        <f>VLOOKUP(I22,'Fastener Data'!$B$3:$C$18,2,FALSE)</f>
        <v>640</v>
      </c>
      <c r="M22" s="26">
        <f t="shared" si="45"/>
        <v>320</v>
      </c>
      <c r="N22" s="50">
        <f t="shared" si="46"/>
        <v>21018.240000000002</v>
      </c>
      <c r="O22" s="50">
        <f t="shared" si="47"/>
        <v>10509.12</v>
      </c>
      <c r="P22" s="38">
        <v>12</v>
      </c>
      <c r="Q22" s="38">
        <v>0</v>
      </c>
      <c r="R22" s="38">
        <v>0</v>
      </c>
      <c r="S22" s="100">
        <f t="shared" si="6"/>
        <v>12</v>
      </c>
      <c r="T22" s="51">
        <f t="shared" si="48"/>
        <v>114.45</v>
      </c>
      <c r="U22" s="51">
        <f t="shared" si="49"/>
        <v>57.225000000000001</v>
      </c>
      <c r="V22" s="51">
        <f t="shared" si="50"/>
        <v>42.91875000000001</v>
      </c>
      <c r="W22" s="52">
        <f t="shared" si="51"/>
        <v>183.64560943643514</v>
      </c>
      <c r="X22" s="52">
        <f t="shared" si="52"/>
        <v>183.64560943643514</v>
      </c>
      <c r="Y22" s="52">
        <f t="shared" si="53"/>
        <v>244.86081258191345</v>
      </c>
      <c r="Z22" s="53" t="str">
        <f t="shared" si="54"/>
        <v>0</v>
      </c>
      <c r="AA22" s="53" t="str">
        <f t="shared" si="55"/>
        <v>0</v>
      </c>
      <c r="AB22" s="53" t="str">
        <f t="shared" si="56"/>
        <v>0</v>
      </c>
      <c r="AC22" s="54" t="str">
        <f t="shared" si="57"/>
        <v>0</v>
      </c>
      <c r="AD22" s="54" t="str">
        <f t="shared" si="58"/>
        <v>0</v>
      </c>
      <c r="AE22" s="54" t="str">
        <f t="shared" si="59"/>
        <v>0</v>
      </c>
      <c r="AF22" s="55" t="str">
        <f t="shared" si="60"/>
        <v>0</v>
      </c>
      <c r="AG22" s="55" t="str">
        <f t="shared" si="61"/>
        <v>0</v>
      </c>
      <c r="AH22" s="55" t="str">
        <f t="shared" si="62"/>
        <v>0</v>
      </c>
      <c r="AI22" s="56" t="str">
        <f t="shared" si="63"/>
        <v>0</v>
      </c>
      <c r="AJ22" s="56" t="str">
        <f t="shared" si="64"/>
        <v>0</v>
      </c>
      <c r="AK22" s="56" t="str">
        <f t="shared" si="65"/>
        <v>0</v>
      </c>
      <c r="AL22" s="57">
        <f t="shared" si="66"/>
        <v>114.45</v>
      </c>
      <c r="AM22" s="57">
        <f t="shared" si="67"/>
        <v>57.225000000000001</v>
      </c>
      <c r="AN22" s="57">
        <f t="shared" si="68"/>
        <v>42.91875000000001</v>
      </c>
      <c r="AO22" s="6" t="str">
        <f t="shared" si="69"/>
        <v>Tensile</v>
      </c>
      <c r="AP22" s="6" t="str">
        <f t="shared" si="70"/>
        <v>Shear</v>
      </c>
      <c r="AQ22" s="6" t="str">
        <f t="shared" si="71"/>
        <v>Shear</v>
      </c>
      <c r="AR22" s="58">
        <f t="shared" si="72"/>
        <v>183.64560943643514</v>
      </c>
      <c r="AS22" s="58">
        <f t="shared" si="73"/>
        <v>183.64560943643514</v>
      </c>
      <c r="AT22" s="58">
        <f t="shared" si="74"/>
        <v>244.86081258191345</v>
      </c>
    </row>
    <row r="23" spans="2:46" x14ac:dyDescent="0.25">
      <c r="B23" s="36">
        <v>14</v>
      </c>
      <c r="C23" s="34" t="s">
        <v>115</v>
      </c>
      <c r="D23" s="41">
        <v>20</v>
      </c>
      <c r="E23" s="78">
        <f t="shared" si="42"/>
        <v>784.80000000000007</v>
      </c>
      <c r="F23" s="78">
        <f t="shared" si="43"/>
        <v>392.40000000000003</v>
      </c>
      <c r="G23" s="78">
        <f t="shared" si="44"/>
        <v>294.3</v>
      </c>
      <c r="H23" s="36"/>
      <c r="I23" s="37" t="s">
        <v>108</v>
      </c>
      <c r="J23" s="37" t="s">
        <v>108</v>
      </c>
      <c r="K23" s="49">
        <f>VLOOKUP(J23,'Fastener Data'!$E$3:$G$29,2,FALSE)</f>
        <v>113.09733552923255</v>
      </c>
      <c r="L23" s="26">
        <f>VLOOKUP(I23,'Fastener Data'!$B$3:$C$18,2,FALSE)</f>
        <v>165</v>
      </c>
      <c r="M23" s="26">
        <f t="shared" si="45"/>
        <v>82.5</v>
      </c>
      <c r="N23" s="50">
        <f t="shared" si="46"/>
        <v>18661.060362323373</v>
      </c>
      <c r="O23" s="50">
        <f t="shared" si="47"/>
        <v>9330.5301811616864</v>
      </c>
      <c r="P23" s="38">
        <v>1</v>
      </c>
      <c r="Q23" s="38">
        <v>0</v>
      </c>
      <c r="R23" s="38">
        <v>0</v>
      </c>
      <c r="S23" s="100">
        <f t="shared" si="6"/>
        <v>1</v>
      </c>
      <c r="T23" s="51">
        <f t="shared" si="48"/>
        <v>784.80000000000007</v>
      </c>
      <c r="U23" s="51">
        <f t="shared" si="49"/>
        <v>392.40000000000003</v>
      </c>
      <c r="V23" s="51">
        <f t="shared" si="50"/>
        <v>294.3</v>
      </c>
      <c r="W23" s="52">
        <f t="shared" si="51"/>
        <v>23.778109534051186</v>
      </c>
      <c r="X23" s="52">
        <f t="shared" si="52"/>
        <v>23.778109534051186</v>
      </c>
      <c r="Y23" s="52">
        <f t="shared" si="53"/>
        <v>31.704146045401583</v>
      </c>
      <c r="Z23" s="53" t="str">
        <f t="shared" si="54"/>
        <v>0</v>
      </c>
      <c r="AA23" s="53" t="str">
        <f t="shared" si="55"/>
        <v>0</v>
      </c>
      <c r="AB23" s="53" t="str">
        <f t="shared" si="56"/>
        <v>0</v>
      </c>
      <c r="AC23" s="54" t="str">
        <f t="shared" si="57"/>
        <v>0</v>
      </c>
      <c r="AD23" s="54" t="str">
        <f t="shared" si="58"/>
        <v>0</v>
      </c>
      <c r="AE23" s="54" t="str">
        <f t="shared" si="59"/>
        <v>0</v>
      </c>
      <c r="AF23" s="55" t="str">
        <f t="shared" si="60"/>
        <v>0</v>
      </c>
      <c r="AG23" s="55" t="str">
        <f t="shared" si="61"/>
        <v>0</v>
      </c>
      <c r="AH23" s="55" t="str">
        <f t="shared" si="62"/>
        <v>0</v>
      </c>
      <c r="AI23" s="56" t="str">
        <f t="shared" si="63"/>
        <v>0</v>
      </c>
      <c r="AJ23" s="56" t="str">
        <f t="shared" si="64"/>
        <v>0</v>
      </c>
      <c r="AK23" s="56" t="str">
        <f t="shared" si="65"/>
        <v>0</v>
      </c>
      <c r="AL23" s="57">
        <f t="shared" si="66"/>
        <v>784.80000000000007</v>
      </c>
      <c r="AM23" s="57">
        <f t="shared" si="67"/>
        <v>392.40000000000003</v>
      </c>
      <c r="AN23" s="57">
        <f t="shared" si="68"/>
        <v>294.3</v>
      </c>
      <c r="AO23" s="6" t="str">
        <f t="shared" si="69"/>
        <v>Tensile</v>
      </c>
      <c r="AP23" s="6" t="str">
        <f t="shared" si="70"/>
        <v>Shear</v>
      </c>
      <c r="AQ23" s="6" t="str">
        <f t="shared" si="71"/>
        <v>Shear</v>
      </c>
      <c r="AR23" s="58">
        <f t="shared" si="72"/>
        <v>23.778109534051186</v>
      </c>
      <c r="AS23" s="58">
        <f t="shared" si="73"/>
        <v>23.778109534051186</v>
      </c>
      <c r="AT23" s="58">
        <f t="shared" si="74"/>
        <v>31.704146045401583</v>
      </c>
    </row>
    <row r="24" spans="2:46" ht="30" x14ac:dyDescent="0.25">
      <c r="B24" s="36">
        <v>15</v>
      </c>
      <c r="C24" s="113" t="s">
        <v>161</v>
      </c>
      <c r="D24" s="41">
        <v>45</v>
      </c>
      <c r="E24" s="78">
        <f t="shared" si="42"/>
        <v>1765.8000000000002</v>
      </c>
      <c r="F24" s="78">
        <f t="shared" si="43"/>
        <v>882.90000000000009</v>
      </c>
      <c r="G24" s="78">
        <f t="shared" si="44"/>
        <v>662.17500000000007</v>
      </c>
      <c r="H24" s="36"/>
      <c r="I24" s="36">
        <v>8.8000000000000007</v>
      </c>
      <c r="J24" s="59" t="s">
        <v>37</v>
      </c>
      <c r="K24" s="49">
        <f>VLOOKUP(J24,'Fastener Data'!$E$3:$G$29,2,FALSE)</f>
        <v>17.893999999999998</v>
      </c>
      <c r="L24" s="26">
        <f>VLOOKUP(I24,'Fastener Data'!$B$3:$C$18,2,FALSE)</f>
        <v>640</v>
      </c>
      <c r="M24" s="26">
        <f t="shared" si="45"/>
        <v>320</v>
      </c>
      <c r="N24" s="50">
        <f t="shared" si="46"/>
        <v>11452.16</v>
      </c>
      <c r="O24" s="50">
        <f t="shared" si="47"/>
        <v>5726.08</v>
      </c>
      <c r="P24" s="38">
        <v>20</v>
      </c>
      <c r="Q24" s="38">
        <v>0</v>
      </c>
      <c r="R24" s="38">
        <v>0</v>
      </c>
      <c r="S24" s="100">
        <f t="shared" si="6"/>
        <v>20</v>
      </c>
      <c r="T24" s="51">
        <f t="shared" si="48"/>
        <v>88.29</v>
      </c>
      <c r="U24" s="51">
        <f t="shared" si="49"/>
        <v>44.145000000000003</v>
      </c>
      <c r="V24" s="51">
        <f t="shared" si="50"/>
        <v>33.108750000000001</v>
      </c>
      <c r="W24" s="52">
        <f t="shared" si="51"/>
        <v>129.7107260165364</v>
      </c>
      <c r="X24" s="52">
        <f t="shared" si="52"/>
        <v>129.7107260165364</v>
      </c>
      <c r="Y24" s="52">
        <f t="shared" si="53"/>
        <v>172.94763468871523</v>
      </c>
      <c r="Z24" s="53" t="str">
        <f t="shared" si="54"/>
        <v>0</v>
      </c>
      <c r="AA24" s="53" t="str">
        <f t="shared" si="55"/>
        <v>0</v>
      </c>
      <c r="AB24" s="53" t="str">
        <f t="shared" si="56"/>
        <v>0</v>
      </c>
      <c r="AC24" s="54" t="str">
        <f t="shared" si="57"/>
        <v>0</v>
      </c>
      <c r="AD24" s="54" t="str">
        <f t="shared" si="58"/>
        <v>0</v>
      </c>
      <c r="AE24" s="54" t="str">
        <f t="shared" si="59"/>
        <v>0</v>
      </c>
      <c r="AF24" s="55" t="str">
        <f t="shared" si="60"/>
        <v>0</v>
      </c>
      <c r="AG24" s="55" t="str">
        <f t="shared" si="61"/>
        <v>0</v>
      </c>
      <c r="AH24" s="55" t="str">
        <f t="shared" si="62"/>
        <v>0</v>
      </c>
      <c r="AI24" s="56" t="str">
        <f t="shared" si="63"/>
        <v>0</v>
      </c>
      <c r="AJ24" s="56" t="str">
        <f t="shared" si="64"/>
        <v>0</v>
      </c>
      <c r="AK24" s="56" t="str">
        <f t="shared" si="65"/>
        <v>0</v>
      </c>
      <c r="AL24" s="57">
        <f t="shared" si="66"/>
        <v>88.29</v>
      </c>
      <c r="AM24" s="57">
        <f t="shared" si="67"/>
        <v>44.145000000000003</v>
      </c>
      <c r="AN24" s="57">
        <f t="shared" si="68"/>
        <v>33.108750000000001</v>
      </c>
      <c r="AO24" s="6" t="str">
        <f t="shared" si="69"/>
        <v>Tensile</v>
      </c>
      <c r="AP24" s="6" t="str">
        <f t="shared" si="70"/>
        <v>Shear</v>
      </c>
      <c r="AQ24" s="6" t="str">
        <f t="shared" si="71"/>
        <v>Shear</v>
      </c>
      <c r="AR24" s="58">
        <f t="shared" si="72"/>
        <v>129.7107260165364</v>
      </c>
      <c r="AS24" s="58">
        <f t="shared" si="73"/>
        <v>129.7107260165364</v>
      </c>
      <c r="AT24" s="58">
        <f t="shared" si="74"/>
        <v>172.94763468871523</v>
      </c>
    </row>
    <row r="25" spans="2:46" x14ac:dyDescent="0.25">
      <c r="B25" s="36">
        <v>16</v>
      </c>
      <c r="C25" s="34" t="s">
        <v>121</v>
      </c>
      <c r="D25" s="41">
        <v>5</v>
      </c>
      <c r="E25" s="78">
        <f t="shared" si="42"/>
        <v>196.20000000000002</v>
      </c>
      <c r="F25" s="78">
        <f t="shared" si="43"/>
        <v>98.100000000000009</v>
      </c>
      <c r="G25" s="78">
        <f t="shared" si="44"/>
        <v>73.575000000000003</v>
      </c>
      <c r="H25" s="36"/>
      <c r="I25" s="36">
        <v>8.8000000000000007</v>
      </c>
      <c r="J25" s="37" t="s">
        <v>37</v>
      </c>
      <c r="K25" s="49">
        <f>VLOOKUP(J25,'Fastener Data'!$E$3:$G$29,2,FALSE)</f>
        <v>17.893999999999998</v>
      </c>
      <c r="L25" s="26">
        <f>VLOOKUP(I25,'Fastener Data'!$B$3:$C$18,2,FALSE)</f>
        <v>640</v>
      </c>
      <c r="M25" s="26">
        <f t="shared" si="45"/>
        <v>320</v>
      </c>
      <c r="N25" s="50">
        <f t="shared" si="46"/>
        <v>11452.16</v>
      </c>
      <c r="O25" s="50">
        <f t="shared" si="47"/>
        <v>5726.08</v>
      </c>
      <c r="P25" s="38">
        <v>8</v>
      </c>
      <c r="Q25" s="38">
        <v>0</v>
      </c>
      <c r="R25" s="38">
        <v>0</v>
      </c>
      <c r="S25" s="100">
        <f t="shared" si="6"/>
        <v>8</v>
      </c>
      <c r="T25" s="51">
        <f t="shared" si="48"/>
        <v>24.525000000000002</v>
      </c>
      <c r="U25" s="51">
        <f t="shared" si="49"/>
        <v>12.262500000000001</v>
      </c>
      <c r="V25" s="51">
        <f t="shared" si="50"/>
        <v>9.1968750000000004</v>
      </c>
      <c r="W25" s="52">
        <f t="shared" si="51"/>
        <v>466.95861365953107</v>
      </c>
      <c r="X25" s="52">
        <f t="shared" si="52"/>
        <v>466.95861365953107</v>
      </c>
      <c r="Y25" s="52">
        <f t="shared" si="53"/>
        <v>622.61148487937476</v>
      </c>
      <c r="Z25" s="53" t="str">
        <f t="shared" si="54"/>
        <v>0</v>
      </c>
      <c r="AA25" s="53" t="str">
        <f t="shared" si="55"/>
        <v>0</v>
      </c>
      <c r="AB25" s="53" t="str">
        <f t="shared" si="56"/>
        <v>0</v>
      </c>
      <c r="AC25" s="54" t="str">
        <f t="shared" si="57"/>
        <v>0</v>
      </c>
      <c r="AD25" s="54" t="str">
        <f t="shared" si="58"/>
        <v>0</v>
      </c>
      <c r="AE25" s="54" t="str">
        <f t="shared" si="59"/>
        <v>0</v>
      </c>
      <c r="AF25" s="55" t="str">
        <f t="shared" si="60"/>
        <v>0</v>
      </c>
      <c r="AG25" s="55" t="str">
        <f t="shared" si="61"/>
        <v>0</v>
      </c>
      <c r="AH25" s="55" t="str">
        <f t="shared" si="62"/>
        <v>0</v>
      </c>
      <c r="AI25" s="56" t="str">
        <f t="shared" si="63"/>
        <v>0</v>
      </c>
      <c r="AJ25" s="56" t="str">
        <f t="shared" si="64"/>
        <v>0</v>
      </c>
      <c r="AK25" s="56" t="str">
        <f t="shared" si="65"/>
        <v>0</v>
      </c>
      <c r="AL25" s="57">
        <f t="shared" si="66"/>
        <v>24.525000000000002</v>
      </c>
      <c r="AM25" s="57">
        <f t="shared" si="67"/>
        <v>12.262500000000001</v>
      </c>
      <c r="AN25" s="57">
        <f t="shared" si="68"/>
        <v>9.1968750000000004</v>
      </c>
      <c r="AO25" s="6" t="str">
        <f t="shared" si="69"/>
        <v>Tensile</v>
      </c>
      <c r="AP25" s="6" t="str">
        <f t="shared" si="70"/>
        <v>Shear</v>
      </c>
      <c r="AQ25" s="6" t="str">
        <f t="shared" si="71"/>
        <v>Shear</v>
      </c>
      <c r="AR25" s="58">
        <f t="shared" si="72"/>
        <v>466.95861365953107</v>
      </c>
      <c r="AS25" s="58">
        <f t="shared" si="73"/>
        <v>466.95861365953107</v>
      </c>
      <c r="AT25" s="58">
        <f t="shared" si="74"/>
        <v>622.61148487937476</v>
      </c>
    </row>
    <row r="26" spans="2:46" ht="30" x14ac:dyDescent="0.25">
      <c r="B26" s="36">
        <v>17</v>
      </c>
      <c r="C26" s="113" t="s">
        <v>147</v>
      </c>
      <c r="D26" s="41">
        <v>20</v>
      </c>
      <c r="E26" s="78">
        <f t="shared" si="42"/>
        <v>784.80000000000007</v>
      </c>
      <c r="F26" s="78">
        <f t="shared" si="43"/>
        <v>392.40000000000003</v>
      </c>
      <c r="G26" s="78">
        <f t="shared" si="44"/>
        <v>294.3</v>
      </c>
      <c r="H26" s="36"/>
      <c r="I26" s="36">
        <v>8.8000000000000007</v>
      </c>
      <c r="J26" s="37" t="s">
        <v>37</v>
      </c>
      <c r="K26" s="49">
        <f>VLOOKUP(J26,'Fastener Data'!$E$3:$G$29,2,FALSE)</f>
        <v>17.893999999999998</v>
      </c>
      <c r="L26" s="26">
        <f>VLOOKUP(I26,'Fastener Data'!$B$3:$C$18,2,FALSE)</f>
        <v>640</v>
      </c>
      <c r="M26" s="26">
        <f t="shared" si="45"/>
        <v>320</v>
      </c>
      <c r="N26" s="50">
        <f t="shared" si="46"/>
        <v>11452.16</v>
      </c>
      <c r="O26" s="50">
        <f t="shared" si="47"/>
        <v>5726.08</v>
      </c>
      <c r="P26" s="38">
        <v>0</v>
      </c>
      <c r="Q26" s="38">
        <v>0</v>
      </c>
      <c r="R26" s="38">
        <v>4</v>
      </c>
      <c r="S26" s="100">
        <f t="shared" si="6"/>
        <v>4</v>
      </c>
      <c r="T26" s="51" t="str">
        <f t="shared" si="48"/>
        <v>0</v>
      </c>
      <c r="U26" s="51" t="str">
        <f t="shared" si="49"/>
        <v>0</v>
      </c>
      <c r="V26" s="51" t="str">
        <f t="shared" si="50"/>
        <v>0</v>
      </c>
      <c r="W26" s="52" t="str">
        <f t="shared" si="51"/>
        <v>0</v>
      </c>
      <c r="X26" s="52" t="str">
        <f t="shared" si="52"/>
        <v>0</v>
      </c>
      <c r="Y26" s="52" t="str">
        <f t="shared" si="53"/>
        <v>0</v>
      </c>
      <c r="Z26" s="53" t="str">
        <f t="shared" si="54"/>
        <v>0</v>
      </c>
      <c r="AA26" s="53" t="str">
        <f t="shared" si="55"/>
        <v>0</v>
      </c>
      <c r="AB26" s="53" t="str">
        <f t="shared" si="56"/>
        <v>0</v>
      </c>
      <c r="AC26" s="54" t="str">
        <f t="shared" si="57"/>
        <v>0</v>
      </c>
      <c r="AD26" s="54" t="str">
        <f t="shared" si="58"/>
        <v>0</v>
      </c>
      <c r="AE26" s="54" t="str">
        <f t="shared" si="59"/>
        <v>0</v>
      </c>
      <c r="AF26" s="55">
        <f t="shared" si="60"/>
        <v>196.20000000000002</v>
      </c>
      <c r="AG26" s="55">
        <f t="shared" si="61"/>
        <v>98.100000000000009</v>
      </c>
      <c r="AH26" s="55">
        <f t="shared" si="62"/>
        <v>73.575000000000003</v>
      </c>
      <c r="AI26" s="56">
        <f t="shared" si="63"/>
        <v>29.184913353720692</v>
      </c>
      <c r="AJ26" s="56">
        <f t="shared" si="64"/>
        <v>58.369826707441383</v>
      </c>
      <c r="AK26" s="56">
        <f t="shared" si="65"/>
        <v>155.65287121984369</v>
      </c>
      <c r="AL26" s="57">
        <f t="shared" si="66"/>
        <v>196.20000000000002</v>
      </c>
      <c r="AM26" s="57">
        <f t="shared" si="67"/>
        <v>98.100000000000009</v>
      </c>
      <c r="AN26" s="57">
        <f t="shared" si="68"/>
        <v>73.575000000000003</v>
      </c>
      <c r="AO26" s="6" t="str">
        <f t="shared" si="69"/>
        <v>Shear</v>
      </c>
      <c r="AP26" s="6" t="str">
        <f t="shared" si="70"/>
        <v>Shear</v>
      </c>
      <c r="AQ26" s="6" t="str">
        <f t="shared" si="71"/>
        <v>Tensile</v>
      </c>
      <c r="AR26" s="58">
        <f t="shared" si="72"/>
        <v>29.184913353720692</v>
      </c>
      <c r="AS26" s="58">
        <f t="shared" si="73"/>
        <v>58.369826707441383</v>
      </c>
      <c r="AT26" s="58">
        <f t="shared" si="74"/>
        <v>155.65287121984369</v>
      </c>
    </row>
    <row r="27" spans="2:46" x14ac:dyDescent="0.25">
      <c r="B27" s="36">
        <v>18</v>
      </c>
      <c r="C27" s="34" t="s">
        <v>148</v>
      </c>
      <c r="D27" s="41">
        <v>5</v>
      </c>
      <c r="E27" s="78">
        <f t="shared" si="42"/>
        <v>196.20000000000002</v>
      </c>
      <c r="F27" s="78">
        <f t="shared" si="43"/>
        <v>98.100000000000009</v>
      </c>
      <c r="G27" s="78">
        <f t="shared" si="44"/>
        <v>73.575000000000003</v>
      </c>
      <c r="H27" s="36"/>
      <c r="I27" s="36">
        <v>8.8000000000000007</v>
      </c>
      <c r="J27" s="37" t="s">
        <v>37</v>
      </c>
      <c r="K27" s="49">
        <f>VLOOKUP(J27,'Fastener Data'!$E$3:$G$29,2,FALSE)</f>
        <v>17.893999999999998</v>
      </c>
      <c r="L27" s="26">
        <f>VLOOKUP(I27,'Fastener Data'!$B$3:$C$18,2,FALSE)</f>
        <v>640</v>
      </c>
      <c r="M27" s="26">
        <f t="shared" si="45"/>
        <v>320</v>
      </c>
      <c r="N27" s="50">
        <f t="shared" si="46"/>
        <v>11452.16</v>
      </c>
      <c r="O27" s="50">
        <f t="shared" si="47"/>
        <v>5726.08</v>
      </c>
      <c r="P27" s="38">
        <v>0</v>
      </c>
      <c r="Q27" s="38">
        <v>0</v>
      </c>
      <c r="R27" s="38">
        <v>3</v>
      </c>
      <c r="S27" s="100">
        <f t="shared" si="6"/>
        <v>3</v>
      </c>
      <c r="T27" s="51" t="str">
        <f t="shared" si="48"/>
        <v>0</v>
      </c>
      <c r="U27" s="51" t="str">
        <f t="shared" si="49"/>
        <v>0</v>
      </c>
      <c r="V27" s="51" t="str">
        <f t="shared" si="50"/>
        <v>0</v>
      </c>
      <c r="W27" s="52" t="str">
        <f t="shared" si="51"/>
        <v>0</v>
      </c>
      <c r="X27" s="52" t="str">
        <f t="shared" si="52"/>
        <v>0</v>
      </c>
      <c r="Y27" s="52" t="str">
        <f t="shared" si="53"/>
        <v>0</v>
      </c>
      <c r="Z27" s="53" t="str">
        <f t="shared" si="54"/>
        <v>0</v>
      </c>
      <c r="AA27" s="53" t="str">
        <f t="shared" si="55"/>
        <v>0</v>
      </c>
      <c r="AB27" s="53" t="str">
        <f t="shared" si="56"/>
        <v>0</v>
      </c>
      <c r="AC27" s="54" t="str">
        <f t="shared" si="57"/>
        <v>0</v>
      </c>
      <c r="AD27" s="54" t="str">
        <f t="shared" si="58"/>
        <v>0</v>
      </c>
      <c r="AE27" s="54" t="str">
        <f t="shared" si="59"/>
        <v>0</v>
      </c>
      <c r="AF27" s="55">
        <f t="shared" si="60"/>
        <v>65.400000000000006</v>
      </c>
      <c r="AG27" s="55">
        <f t="shared" si="61"/>
        <v>32.700000000000003</v>
      </c>
      <c r="AH27" s="55">
        <f t="shared" si="62"/>
        <v>24.525000000000002</v>
      </c>
      <c r="AI27" s="56">
        <f t="shared" si="63"/>
        <v>87.554740061162065</v>
      </c>
      <c r="AJ27" s="56">
        <f t="shared" si="64"/>
        <v>175.10948012232413</v>
      </c>
      <c r="AK27" s="56">
        <f t="shared" si="65"/>
        <v>466.95861365953107</v>
      </c>
      <c r="AL27" s="57">
        <f t="shared" si="66"/>
        <v>65.400000000000006</v>
      </c>
      <c r="AM27" s="57">
        <f t="shared" si="67"/>
        <v>32.700000000000003</v>
      </c>
      <c r="AN27" s="57">
        <f t="shared" si="68"/>
        <v>24.525000000000002</v>
      </c>
      <c r="AO27" s="6" t="str">
        <f t="shared" si="69"/>
        <v>Shear</v>
      </c>
      <c r="AP27" s="6" t="str">
        <f t="shared" si="70"/>
        <v>Shear</v>
      </c>
      <c r="AQ27" s="6" t="str">
        <f t="shared" si="71"/>
        <v>Tensile</v>
      </c>
      <c r="AR27" s="58">
        <f t="shared" si="72"/>
        <v>87.554740061162065</v>
      </c>
      <c r="AS27" s="58">
        <f t="shared" si="73"/>
        <v>175.10948012232413</v>
      </c>
      <c r="AT27" s="58">
        <f t="shared" si="74"/>
        <v>466.95861365953107</v>
      </c>
    </row>
    <row r="28" spans="2:46" ht="30" x14ac:dyDescent="0.25">
      <c r="B28" s="36">
        <v>19</v>
      </c>
      <c r="C28" s="113" t="s">
        <v>167</v>
      </c>
      <c r="D28" s="41">
        <v>150</v>
      </c>
      <c r="E28" s="78">
        <f t="shared" si="42"/>
        <v>5886</v>
      </c>
      <c r="F28" s="78">
        <f t="shared" si="43"/>
        <v>2943</v>
      </c>
      <c r="G28" s="78">
        <f t="shared" si="44"/>
        <v>2207.25</v>
      </c>
      <c r="H28" s="36"/>
      <c r="I28" s="36">
        <v>8.8000000000000007</v>
      </c>
      <c r="J28" s="37" t="s">
        <v>30</v>
      </c>
      <c r="K28" s="49">
        <f>VLOOKUP(J28,'Fastener Data'!$E$3:$G$29,2,FALSE)</f>
        <v>52.292000000000002</v>
      </c>
      <c r="L28" s="26">
        <f>VLOOKUP(I28,'Fastener Data'!$B$3:$C$18,2,FALSE)</f>
        <v>640</v>
      </c>
      <c r="M28" s="26">
        <f t="shared" si="45"/>
        <v>320</v>
      </c>
      <c r="N28" s="50">
        <f t="shared" si="46"/>
        <v>33466.880000000005</v>
      </c>
      <c r="O28" s="50">
        <f t="shared" si="47"/>
        <v>16733.440000000002</v>
      </c>
      <c r="P28" s="38">
        <v>0</v>
      </c>
      <c r="Q28" s="38">
        <v>4</v>
      </c>
      <c r="R28" s="38">
        <v>0</v>
      </c>
      <c r="S28" s="100">
        <f t="shared" si="6"/>
        <v>4</v>
      </c>
      <c r="T28" s="51" t="str">
        <f t="shared" si="48"/>
        <v>0</v>
      </c>
      <c r="U28" s="51" t="str">
        <f t="shared" si="49"/>
        <v>0</v>
      </c>
      <c r="V28" s="51" t="str">
        <f t="shared" si="50"/>
        <v>0</v>
      </c>
      <c r="W28" s="52" t="str">
        <f t="shared" si="51"/>
        <v>0</v>
      </c>
      <c r="X28" s="52" t="str">
        <f t="shared" si="52"/>
        <v>0</v>
      </c>
      <c r="Y28" s="52" t="str">
        <f t="shared" si="53"/>
        <v>0</v>
      </c>
      <c r="Z28" s="53">
        <f t="shared" si="54"/>
        <v>1471.5</v>
      </c>
      <c r="AA28" s="53">
        <f t="shared" si="55"/>
        <v>735.75</v>
      </c>
      <c r="AB28" s="53">
        <f t="shared" si="56"/>
        <v>551.8125</v>
      </c>
      <c r="AC28" s="54">
        <f t="shared" si="57"/>
        <v>11.371688752973158</v>
      </c>
      <c r="AD28" s="54">
        <f t="shared" si="58"/>
        <v>45.486755011892633</v>
      </c>
      <c r="AE28" s="54">
        <f t="shared" si="59"/>
        <v>30.324503341261757</v>
      </c>
      <c r="AF28" s="55" t="str">
        <f t="shared" si="60"/>
        <v>0</v>
      </c>
      <c r="AG28" s="55" t="str">
        <f t="shared" si="61"/>
        <v>0</v>
      </c>
      <c r="AH28" s="55" t="str">
        <f t="shared" si="62"/>
        <v>0</v>
      </c>
      <c r="AI28" s="56" t="str">
        <f t="shared" si="63"/>
        <v>0</v>
      </c>
      <c r="AJ28" s="56" t="str">
        <f t="shared" si="64"/>
        <v>0</v>
      </c>
      <c r="AK28" s="56" t="str">
        <f t="shared" si="65"/>
        <v>0</v>
      </c>
      <c r="AL28" s="57">
        <f t="shared" si="66"/>
        <v>1471.5</v>
      </c>
      <c r="AM28" s="57">
        <f t="shared" si="67"/>
        <v>735.75</v>
      </c>
      <c r="AN28" s="57">
        <f t="shared" si="68"/>
        <v>551.8125</v>
      </c>
      <c r="AO28" s="6" t="str">
        <f t="shared" si="69"/>
        <v>Shear</v>
      </c>
      <c r="AP28" s="6" t="str">
        <f t="shared" si="70"/>
        <v>Tensile</v>
      </c>
      <c r="AQ28" s="6" t="str">
        <f t="shared" si="71"/>
        <v>Shear</v>
      </c>
      <c r="AR28" s="58">
        <f t="shared" si="72"/>
        <v>11.371688752973158</v>
      </c>
      <c r="AS28" s="58">
        <f t="shared" si="73"/>
        <v>45.486755011892633</v>
      </c>
      <c r="AT28" s="58">
        <f t="shared" si="74"/>
        <v>30.324503341261757</v>
      </c>
    </row>
    <row r="29" spans="2:46" ht="29.25" customHeight="1" x14ac:dyDescent="0.25">
      <c r="B29" s="36">
        <v>20</v>
      </c>
      <c r="C29" s="35" t="s">
        <v>168</v>
      </c>
      <c r="D29" s="39">
        <v>22</v>
      </c>
      <c r="E29" s="78">
        <f t="shared" si="42"/>
        <v>863.28000000000009</v>
      </c>
      <c r="F29" s="78">
        <f t="shared" si="43"/>
        <v>431.64000000000004</v>
      </c>
      <c r="G29" s="78">
        <f t="shared" si="44"/>
        <v>323.73</v>
      </c>
      <c r="H29" s="36"/>
      <c r="I29" s="36">
        <v>8.8000000000000007</v>
      </c>
      <c r="J29" s="37" t="s">
        <v>37</v>
      </c>
      <c r="K29" s="49">
        <f>VLOOKUP(J29,'Fastener Data'!$E$3:$G$29,2,FALSE)</f>
        <v>17.893999999999998</v>
      </c>
      <c r="L29" s="26">
        <f>VLOOKUP(I29,'Fastener Data'!$B$3:$C$18,2,FALSE)</f>
        <v>640</v>
      </c>
      <c r="M29" s="26">
        <f t="shared" ref="M29:M64" si="141">L29*0.5</f>
        <v>320</v>
      </c>
      <c r="N29" s="50">
        <f t="shared" ref="N29:N64" si="142">K29*L29</f>
        <v>11452.16</v>
      </c>
      <c r="O29" s="50">
        <f t="shared" ref="O29:O64" si="143">K29*M29</f>
        <v>5726.08</v>
      </c>
      <c r="P29" s="38">
        <v>0</v>
      </c>
      <c r="Q29" s="38">
        <v>4</v>
      </c>
      <c r="R29" s="38">
        <v>0</v>
      </c>
      <c r="S29" s="100">
        <f t="shared" si="6"/>
        <v>4</v>
      </c>
      <c r="T29" s="51" t="str">
        <f t="shared" si="48"/>
        <v>0</v>
      </c>
      <c r="U29" s="51" t="str">
        <f t="shared" si="49"/>
        <v>0</v>
      </c>
      <c r="V29" s="51" t="str">
        <f t="shared" si="50"/>
        <v>0</v>
      </c>
      <c r="W29" s="52" t="str">
        <f t="shared" si="51"/>
        <v>0</v>
      </c>
      <c r="X29" s="52" t="str">
        <f t="shared" si="52"/>
        <v>0</v>
      </c>
      <c r="Y29" s="52" t="str">
        <f t="shared" si="53"/>
        <v>0</v>
      </c>
      <c r="Z29" s="53">
        <f t="shared" si="54"/>
        <v>215.82000000000002</v>
      </c>
      <c r="AA29" s="53">
        <f t="shared" si="55"/>
        <v>107.91000000000001</v>
      </c>
      <c r="AB29" s="53">
        <f t="shared" si="56"/>
        <v>80.932500000000005</v>
      </c>
      <c r="AC29" s="54">
        <f t="shared" si="57"/>
        <v>26.531739412473353</v>
      </c>
      <c r="AD29" s="54">
        <f t="shared" si="58"/>
        <v>106.12695764989341</v>
      </c>
      <c r="AE29" s="54">
        <f t="shared" si="59"/>
        <v>70.751305099928942</v>
      </c>
      <c r="AF29" s="55" t="str">
        <f t="shared" si="60"/>
        <v>0</v>
      </c>
      <c r="AG29" s="55" t="str">
        <f t="shared" si="61"/>
        <v>0</v>
      </c>
      <c r="AH29" s="55" t="str">
        <f t="shared" si="62"/>
        <v>0</v>
      </c>
      <c r="AI29" s="56" t="str">
        <f t="shared" si="63"/>
        <v>0</v>
      </c>
      <c r="AJ29" s="56" t="str">
        <f t="shared" si="64"/>
        <v>0</v>
      </c>
      <c r="AK29" s="56" t="str">
        <f t="shared" si="65"/>
        <v>0</v>
      </c>
      <c r="AL29" s="57">
        <f t="shared" si="66"/>
        <v>215.82000000000002</v>
      </c>
      <c r="AM29" s="57">
        <f t="shared" si="67"/>
        <v>107.91000000000001</v>
      </c>
      <c r="AN29" s="57">
        <f t="shared" si="68"/>
        <v>80.932500000000005</v>
      </c>
      <c r="AO29" s="6" t="str">
        <f t="shared" si="69"/>
        <v>Shear</v>
      </c>
      <c r="AP29" s="6" t="str">
        <f t="shared" si="70"/>
        <v>Tensile</v>
      </c>
      <c r="AQ29" s="6" t="str">
        <f t="shared" si="71"/>
        <v>Shear</v>
      </c>
      <c r="AR29" s="58">
        <f t="shared" si="72"/>
        <v>26.531739412473353</v>
      </c>
      <c r="AS29" s="58">
        <f t="shared" si="73"/>
        <v>106.12695764989341</v>
      </c>
      <c r="AT29" s="58">
        <f t="shared" si="74"/>
        <v>70.751305099928942</v>
      </c>
    </row>
    <row r="30" spans="2:46" ht="33.75" customHeight="1" x14ac:dyDescent="0.25">
      <c r="B30" s="36">
        <v>21</v>
      </c>
      <c r="C30" s="125" t="s">
        <v>141</v>
      </c>
      <c r="D30" s="39">
        <v>251</v>
      </c>
      <c r="E30" s="78">
        <f t="shared" ref="E30" si="144">D30*$D$3*$D$4</f>
        <v>9849.24</v>
      </c>
      <c r="F30" s="78">
        <f t="shared" ref="F30" si="145">D30*$D$3*$D$5</f>
        <v>4924.62</v>
      </c>
      <c r="G30" s="78">
        <f t="shared" ref="G30" si="146">D30*$D$3*$D$6</f>
        <v>3693.4650000000001</v>
      </c>
      <c r="H30" s="36"/>
      <c r="I30" s="36">
        <v>8.8000000000000007</v>
      </c>
      <c r="J30" s="37" t="s">
        <v>39</v>
      </c>
      <c r="K30" s="49">
        <f>VLOOKUP(J30,'Fastener Data'!$E$3:$G$29,2,FALSE)</f>
        <v>76.247</v>
      </c>
      <c r="L30" s="26">
        <f>VLOOKUP(I30,'Fastener Data'!$B$3:$C$18,2,FALSE)</f>
        <v>640</v>
      </c>
      <c r="M30" s="26">
        <f t="shared" ref="M30" si="147">L30*0.5</f>
        <v>320</v>
      </c>
      <c r="N30" s="50">
        <f t="shared" ref="N30" si="148">K30*L30</f>
        <v>48798.080000000002</v>
      </c>
      <c r="O30" s="50">
        <f t="shared" ref="O30" si="149">K30*M30</f>
        <v>24399.040000000001</v>
      </c>
      <c r="P30" s="38">
        <v>0</v>
      </c>
      <c r="Q30" s="38">
        <v>4</v>
      </c>
      <c r="R30" s="38">
        <v>0</v>
      </c>
      <c r="S30" s="100">
        <f t="shared" ref="S30" si="150">SUM(P30:R30)</f>
        <v>4</v>
      </c>
      <c r="T30" s="51" t="str">
        <f t="shared" ref="T30" si="151">IF(P30=0,"0",E30/P30)</f>
        <v>0</v>
      </c>
      <c r="U30" s="51" t="str">
        <f t="shared" ref="U30" si="152">IF(P30=0,"0",F30/P30)</f>
        <v>0</v>
      </c>
      <c r="V30" s="51" t="str">
        <f t="shared" ref="V30" si="153">IF(P30=0,"0",G30/P30)</f>
        <v>0</v>
      </c>
      <c r="W30" s="52" t="str">
        <f t="shared" ref="W30" si="154">IF(T30="0","0",N30/T30)</f>
        <v>0</v>
      </c>
      <c r="X30" s="52" t="str">
        <f t="shared" ref="X30" si="155">IF(U30="0","0",O30/U30)</f>
        <v>0</v>
      </c>
      <c r="Y30" s="52" t="str">
        <f t="shared" ref="Y30" si="156">IF(V30="0","0",O30/V30)</f>
        <v>0</v>
      </c>
      <c r="Z30" s="53">
        <f t="shared" ref="Z30" si="157">IF(Q30=0,"0",E30/Q30)</f>
        <v>2462.31</v>
      </c>
      <c r="AA30" s="53">
        <f t="shared" ref="AA30" si="158">IF(Q30=0,"0",F30/Q30)</f>
        <v>1231.155</v>
      </c>
      <c r="AB30" s="53">
        <f t="shared" ref="AB30" si="159">IF(Q30=0,"0",G30/Q30)</f>
        <v>923.36625000000004</v>
      </c>
      <c r="AC30" s="54">
        <f t="shared" ref="AC30" si="160">IF(Z30="0","0",O30/Z30)</f>
        <v>9.909004146512828</v>
      </c>
      <c r="AD30" s="54">
        <f t="shared" ref="AD30" si="161">IF(AA30="0","0",N30/AA30)</f>
        <v>39.636016586051312</v>
      </c>
      <c r="AE30" s="54">
        <f t="shared" ref="AE30" si="162">IF(AB30="0","0",O30/AB30)</f>
        <v>26.42401105736754</v>
      </c>
      <c r="AF30" s="55" t="str">
        <f t="shared" ref="AF30" si="163">IF(R30=0,"0",E30/R30)</f>
        <v>0</v>
      </c>
      <c r="AG30" s="55" t="str">
        <f t="shared" ref="AG30" si="164">IF(R30=0,"0",F30/R30)</f>
        <v>0</v>
      </c>
      <c r="AH30" s="55" t="str">
        <f t="shared" ref="AH30" si="165">IF(R30=0,"0",G30/R30)</f>
        <v>0</v>
      </c>
      <c r="AI30" s="56" t="str">
        <f t="shared" ref="AI30" si="166">IF(AF30="0","0",O30/AF30)</f>
        <v>0</v>
      </c>
      <c r="AJ30" s="56" t="str">
        <f t="shared" ref="AJ30" si="167">IF(AG30="0","0",O30/AG30)</f>
        <v>0</v>
      </c>
      <c r="AK30" s="56" t="str">
        <f t="shared" ref="AK30" si="168">IF(AH30="0","0",N30/AH30)</f>
        <v>0</v>
      </c>
      <c r="AL30" s="57">
        <f t="shared" ref="AL30" si="169">T30+Z30+AF30</f>
        <v>2462.31</v>
      </c>
      <c r="AM30" s="57">
        <f t="shared" ref="AM30" si="170">U30+AA30+AG30</f>
        <v>1231.155</v>
      </c>
      <c r="AN30" s="57">
        <f t="shared" ref="AN30" si="171">V30+AB30+AH30</f>
        <v>923.36625000000004</v>
      </c>
      <c r="AO30" s="6" t="str">
        <f t="shared" ref="AO30" si="172">IF(I30="Strap","Tensile",IF(P30&gt;0,"Tensile","Shear"))</f>
        <v>Shear</v>
      </c>
      <c r="AP30" s="6" t="str">
        <f t="shared" ref="AP30" si="173">IF(I30="Strap","Tensile",IF(Q30&gt;0,"Tensile","Shear"))</f>
        <v>Tensile</v>
      </c>
      <c r="AQ30" s="6" t="str">
        <f t="shared" ref="AQ30" si="174">IF(I30="Strap","Tensile",IF(R30&gt;0,"Tensile","Shear"))</f>
        <v>Shear</v>
      </c>
      <c r="AR30" s="58">
        <f t="shared" ref="AR30" si="175">W30+AC30+AI30</f>
        <v>9.909004146512828</v>
      </c>
      <c r="AS30" s="58">
        <f t="shared" ref="AS30" si="176">X30+AD30+AJ30</f>
        <v>39.636016586051312</v>
      </c>
      <c r="AT30" s="58">
        <f t="shared" ref="AT30" si="177">Y30+AE30+AK30</f>
        <v>26.42401105736754</v>
      </c>
    </row>
    <row r="31" spans="2:46" x14ac:dyDescent="0.25">
      <c r="B31" s="36">
        <v>22</v>
      </c>
      <c r="C31" s="126" t="s">
        <v>128</v>
      </c>
      <c r="D31" s="127">
        <v>5</v>
      </c>
      <c r="E31" s="78">
        <f t="shared" si="42"/>
        <v>196.20000000000002</v>
      </c>
      <c r="F31" s="78">
        <f t="shared" si="43"/>
        <v>98.100000000000009</v>
      </c>
      <c r="G31" s="78">
        <f t="shared" si="44"/>
        <v>73.575000000000003</v>
      </c>
      <c r="H31" s="42"/>
      <c r="I31" s="36">
        <v>8.8000000000000007</v>
      </c>
      <c r="J31" s="37" t="s">
        <v>37</v>
      </c>
      <c r="K31" s="49">
        <f>VLOOKUP(J31,'Fastener Data'!$E$3:$G$29,2,FALSE)</f>
        <v>17.893999999999998</v>
      </c>
      <c r="L31" s="26">
        <f>VLOOKUP(I31,'Fastener Data'!$B$3:$C$18,2,FALSE)</f>
        <v>640</v>
      </c>
      <c r="M31" s="26">
        <f>0.5*L31</f>
        <v>320</v>
      </c>
      <c r="N31" s="50">
        <f t="shared" si="142"/>
        <v>11452.16</v>
      </c>
      <c r="O31" s="50">
        <f t="shared" si="143"/>
        <v>5726.08</v>
      </c>
      <c r="P31" s="38">
        <v>6</v>
      </c>
      <c r="Q31" s="38">
        <v>0</v>
      </c>
      <c r="R31" s="38">
        <v>0</v>
      </c>
      <c r="S31" s="100">
        <f t="shared" si="6"/>
        <v>6</v>
      </c>
      <c r="T31" s="51">
        <f t="shared" si="48"/>
        <v>32.700000000000003</v>
      </c>
      <c r="U31" s="51">
        <f t="shared" si="49"/>
        <v>16.350000000000001</v>
      </c>
      <c r="V31" s="51">
        <f t="shared" si="50"/>
        <v>12.262500000000001</v>
      </c>
      <c r="W31" s="52">
        <f t="shared" si="51"/>
        <v>350.21896024464826</v>
      </c>
      <c r="X31" s="52">
        <f t="shared" si="52"/>
        <v>350.21896024464826</v>
      </c>
      <c r="Y31" s="52">
        <f t="shared" si="53"/>
        <v>466.95861365953107</v>
      </c>
      <c r="Z31" s="53" t="str">
        <f t="shared" si="54"/>
        <v>0</v>
      </c>
      <c r="AA31" s="53" t="str">
        <f t="shared" si="55"/>
        <v>0</v>
      </c>
      <c r="AB31" s="53" t="str">
        <f t="shared" si="56"/>
        <v>0</v>
      </c>
      <c r="AC31" s="54" t="str">
        <f t="shared" si="57"/>
        <v>0</v>
      </c>
      <c r="AD31" s="54" t="str">
        <f t="shared" si="58"/>
        <v>0</v>
      </c>
      <c r="AE31" s="54" t="str">
        <f t="shared" si="59"/>
        <v>0</v>
      </c>
      <c r="AF31" s="55" t="str">
        <f t="shared" si="60"/>
        <v>0</v>
      </c>
      <c r="AG31" s="55" t="str">
        <f t="shared" si="61"/>
        <v>0</v>
      </c>
      <c r="AH31" s="55" t="str">
        <f t="shared" si="62"/>
        <v>0</v>
      </c>
      <c r="AI31" s="56" t="str">
        <f t="shared" si="63"/>
        <v>0</v>
      </c>
      <c r="AJ31" s="56" t="str">
        <f t="shared" si="64"/>
        <v>0</v>
      </c>
      <c r="AK31" s="56" t="str">
        <f t="shared" si="65"/>
        <v>0</v>
      </c>
      <c r="AL31" s="57">
        <f t="shared" si="66"/>
        <v>32.700000000000003</v>
      </c>
      <c r="AM31" s="57">
        <f t="shared" si="67"/>
        <v>16.350000000000001</v>
      </c>
      <c r="AN31" s="57">
        <f t="shared" si="68"/>
        <v>12.262500000000001</v>
      </c>
      <c r="AO31" s="6" t="str">
        <f t="shared" si="69"/>
        <v>Tensile</v>
      </c>
      <c r="AP31" s="6" t="str">
        <f t="shared" si="70"/>
        <v>Shear</v>
      </c>
      <c r="AQ31" s="6" t="str">
        <f t="shared" si="71"/>
        <v>Shear</v>
      </c>
      <c r="AR31" s="58">
        <f t="shared" si="72"/>
        <v>350.21896024464826</v>
      </c>
      <c r="AS31" s="58">
        <f t="shared" si="73"/>
        <v>350.21896024464826</v>
      </c>
      <c r="AT31" s="58">
        <f t="shared" si="74"/>
        <v>466.95861365953107</v>
      </c>
    </row>
    <row r="32" spans="2:46" x14ac:dyDescent="0.25">
      <c r="B32" s="36">
        <v>23</v>
      </c>
      <c r="C32" s="126" t="s">
        <v>129</v>
      </c>
      <c r="D32" s="127">
        <v>3</v>
      </c>
      <c r="E32" s="78">
        <f t="shared" ref="E32:E35" si="178">D32*$D$3*$D$4</f>
        <v>117.72</v>
      </c>
      <c r="F32" s="78">
        <f t="shared" ref="F32:F35" si="179">D32*$D$3*$D$5</f>
        <v>58.86</v>
      </c>
      <c r="G32" s="78">
        <f t="shared" ref="G32:G35" si="180">D32*$D$3*$D$6</f>
        <v>44.144999999999996</v>
      </c>
      <c r="H32" s="42"/>
      <c r="I32" s="36">
        <v>8.8000000000000007</v>
      </c>
      <c r="J32" s="37" t="s">
        <v>37</v>
      </c>
      <c r="K32" s="49">
        <f>VLOOKUP(J32,'Fastener Data'!$E$3:$G$29,2,FALSE)</f>
        <v>17.893999999999998</v>
      </c>
      <c r="L32" s="26">
        <f>VLOOKUP(I32,'Fastener Data'!$B$3:$C$18,2,FALSE)</f>
        <v>640</v>
      </c>
      <c r="M32" s="26">
        <f>0.5*L32</f>
        <v>320</v>
      </c>
      <c r="N32" s="50">
        <f t="shared" ref="N32:N35" si="181">K32*L32</f>
        <v>11452.16</v>
      </c>
      <c r="O32" s="50">
        <f t="shared" ref="O32:O35" si="182">K32*M32</f>
        <v>5726.08</v>
      </c>
      <c r="P32" s="38">
        <v>4</v>
      </c>
      <c r="Q32" s="38">
        <v>0</v>
      </c>
      <c r="R32" s="38">
        <v>0</v>
      </c>
      <c r="S32" s="100">
        <f t="shared" ref="S32:S35" si="183">SUM(P32:R32)</f>
        <v>4</v>
      </c>
      <c r="T32" s="51">
        <f t="shared" ref="T32:T35" si="184">IF(P32=0,"0",E32/P32)</f>
        <v>29.43</v>
      </c>
      <c r="U32" s="51">
        <f t="shared" ref="U32:U35" si="185">IF(P32=0,"0",F32/P32)</f>
        <v>14.715</v>
      </c>
      <c r="V32" s="51">
        <f t="shared" ref="V32:V35" si="186">IF(P32=0,"0",G32/P32)</f>
        <v>11.036249999999999</v>
      </c>
      <c r="W32" s="52">
        <f t="shared" ref="W32:W35" si="187">IF(T32="0","0",N32/T32)</f>
        <v>389.13217804960925</v>
      </c>
      <c r="X32" s="52">
        <f t="shared" ref="X32:X35" si="188">IF(U32="0","0",O32/U32)</f>
        <v>389.13217804960925</v>
      </c>
      <c r="Y32" s="52">
        <f t="shared" ref="Y32:Y35" si="189">IF(V32="0","0",O32/V32)</f>
        <v>518.84290406614571</v>
      </c>
      <c r="Z32" s="53" t="str">
        <f t="shared" ref="Z32:Z35" si="190">IF(Q32=0,"0",E32/Q32)</f>
        <v>0</v>
      </c>
      <c r="AA32" s="53" t="str">
        <f t="shared" ref="AA32:AA35" si="191">IF(Q32=0,"0",F32/Q32)</f>
        <v>0</v>
      </c>
      <c r="AB32" s="53" t="str">
        <f t="shared" ref="AB32:AB35" si="192">IF(Q32=0,"0",G32/Q32)</f>
        <v>0</v>
      </c>
      <c r="AC32" s="54" t="str">
        <f t="shared" ref="AC32:AC35" si="193">IF(Z32="0","0",O32/Z32)</f>
        <v>0</v>
      </c>
      <c r="AD32" s="54" t="str">
        <f t="shared" ref="AD32:AD35" si="194">IF(AA32="0","0",N32/AA32)</f>
        <v>0</v>
      </c>
      <c r="AE32" s="54" t="str">
        <f t="shared" ref="AE32:AE35" si="195">IF(AB32="0","0",O32/AB32)</f>
        <v>0</v>
      </c>
      <c r="AF32" s="55" t="str">
        <f t="shared" ref="AF32:AF35" si="196">IF(R32=0,"0",E32/R32)</f>
        <v>0</v>
      </c>
      <c r="AG32" s="55" t="str">
        <f t="shared" ref="AG32:AG35" si="197">IF(R32=0,"0",F32/R32)</f>
        <v>0</v>
      </c>
      <c r="AH32" s="55" t="str">
        <f t="shared" ref="AH32:AH35" si="198">IF(R32=0,"0",G32/R32)</f>
        <v>0</v>
      </c>
      <c r="AI32" s="56" t="str">
        <f t="shared" ref="AI32:AI35" si="199">IF(AF32="0","0",O32/AF32)</f>
        <v>0</v>
      </c>
      <c r="AJ32" s="56" t="str">
        <f t="shared" ref="AJ32:AJ35" si="200">IF(AG32="0","0",O32/AG32)</f>
        <v>0</v>
      </c>
      <c r="AK32" s="56" t="str">
        <f t="shared" ref="AK32:AK35" si="201">IF(AH32="0","0",N32/AH32)</f>
        <v>0</v>
      </c>
      <c r="AL32" s="57">
        <f t="shared" ref="AL32:AL35" si="202">T32+Z32+AF32</f>
        <v>29.43</v>
      </c>
      <c r="AM32" s="57">
        <f t="shared" ref="AM32:AM35" si="203">U32+AA32+AG32</f>
        <v>14.715</v>
      </c>
      <c r="AN32" s="57">
        <f t="shared" ref="AN32:AN35" si="204">V32+AB32+AH32</f>
        <v>11.036249999999999</v>
      </c>
      <c r="AO32" s="6" t="str">
        <f t="shared" ref="AO32:AO35" si="205">IF(I32="Strap","Tensile",IF(P32&gt;0,"Tensile","Shear"))</f>
        <v>Tensile</v>
      </c>
      <c r="AP32" s="6" t="str">
        <f t="shared" ref="AP32:AP35" si="206">IF(I32="Strap","Tensile",IF(Q32&gt;0,"Tensile","Shear"))</f>
        <v>Shear</v>
      </c>
      <c r="AQ32" s="6" t="str">
        <f t="shared" ref="AQ32:AQ35" si="207">IF(I32="Strap","Tensile",IF(R32&gt;0,"Tensile","Shear"))</f>
        <v>Shear</v>
      </c>
      <c r="AR32" s="58">
        <f t="shared" ref="AR32:AR35" si="208">W32+AC32+AI32</f>
        <v>389.13217804960925</v>
      </c>
      <c r="AS32" s="58">
        <f t="shared" ref="AS32:AS35" si="209">X32+AD32+AJ32</f>
        <v>389.13217804960925</v>
      </c>
      <c r="AT32" s="58">
        <f t="shared" ref="AT32:AT35" si="210">Y32+AE32+AK32</f>
        <v>518.84290406614571</v>
      </c>
    </row>
    <row r="33" spans="2:46" x14ac:dyDescent="0.25">
      <c r="B33" s="36">
        <v>24</v>
      </c>
      <c r="C33" s="126" t="s">
        <v>154</v>
      </c>
      <c r="D33" s="128">
        <v>10.8</v>
      </c>
      <c r="E33" s="78">
        <f t="shared" ref="E33" si="211">D33*$D$3*$D$4</f>
        <v>423.79200000000003</v>
      </c>
      <c r="F33" s="78">
        <f t="shared" ref="F33" si="212">D33*$D$3*$D$5</f>
        <v>211.89600000000002</v>
      </c>
      <c r="G33" s="78">
        <f t="shared" ref="G33" si="213">D33*$D$3*$D$6</f>
        <v>158.92200000000003</v>
      </c>
      <c r="H33" s="42"/>
      <c r="I33" s="36">
        <v>8.8000000000000007</v>
      </c>
      <c r="J33" s="37" t="s">
        <v>37</v>
      </c>
      <c r="K33" s="49">
        <f>VLOOKUP(J33,'Fastener Data'!$E$3:$G$29,2,FALSE)</f>
        <v>17.893999999999998</v>
      </c>
      <c r="L33" s="26">
        <f>VLOOKUP(I33,'Fastener Data'!$B$3:$C$18,2,FALSE)</f>
        <v>640</v>
      </c>
      <c r="M33" s="26">
        <f>0.5*L33</f>
        <v>320</v>
      </c>
      <c r="N33" s="50">
        <f t="shared" ref="N33" si="214">K33*L33</f>
        <v>11452.16</v>
      </c>
      <c r="O33" s="50">
        <f t="shared" ref="O33" si="215">K33*M33</f>
        <v>5726.08</v>
      </c>
      <c r="P33" s="38">
        <v>4</v>
      </c>
      <c r="Q33" s="38">
        <v>0</v>
      </c>
      <c r="R33" s="38">
        <v>0</v>
      </c>
      <c r="S33" s="100">
        <f t="shared" ref="S33" si="216">SUM(P33:R33)</f>
        <v>4</v>
      </c>
      <c r="T33" s="51">
        <f t="shared" ref="T33" si="217">IF(P33=0,"0",E33/P33)</f>
        <v>105.94800000000001</v>
      </c>
      <c r="U33" s="51">
        <f t="shared" ref="U33" si="218">IF(P33=0,"0",F33/P33)</f>
        <v>52.974000000000004</v>
      </c>
      <c r="V33" s="51">
        <f t="shared" ref="V33" si="219">IF(P33=0,"0",G33/P33)</f>
        <v>39.730500000000006</v>
      </c>
      <c r="W33" s="52">
        <f t="shared" ref="W33" si="220">IF(T33="0","0",N33/T33)</f>
        <v>108.092271680447</v>
      </c>
      <c r="X33" s="52">
        <f t="shared" ref="X33" si="221">IF(U33="0","0",O33/U33)</f>
        <v>108.092271680447</v>
      </c>
      <c r="Y33" s="52">
        <f t="shared" ref="Y33" si="222">IF(V33="0","0",O33/V33)</f>
        <v>144.12302890726266</v>
      </c>
      <c r="Z33" s="53" t="str">
        <f t="shared" ref="Z33" si="223">IF(Q33=0,"0",E33/Q33)</f>
        <v>0</v>
      </c>
      <c r="AA33" s="53" t="str">
        <f t="shared" ref="AA33" si="224">IF(Q33=0,"0",F33/Q33)</f>
        <v>0</v>
      </c>
      <c r="AB33" s="53" t="str">
        <f t="shared" ref="AB33" si="225">IF(Q33=0,"0",G33/Q33)</f>
        <v>0</v>
      </c>
      <c r="AC33" s="54" t="str">
        <f t="shared" ref="AC33" si="226">IF(Z33="0","0",O33/Z33)</f>
        <v>0</v>
      </c>
      <c r="AD33" s="54" t="str">
        <f t="shared" ref="AD33" si="227">IF(AA33="0","0",N33/AA33)</f>
        <v>0</v>
      </c>
      <c r="AE33" s="54" t="str">
        <f t="shared" ref="AE33" si="228">IF(AB33="0","0",O33/AB33)</f>
        <v>0</v>
      </c>
      <c r="AF33" s="55" t="str">
        <f t="shared" ref="AF33" si="229">IF(R33=0,"0",E33/R33)</f>
        <v>0</v>
      </c>
      <c r="AG33" s="55" t="str">
        <f t="shared" ref="AG33" si="230">IF(R33=0,"0",F33/R33)</f>
        <v>0</v>
      </c>
      <c r="AH33" s="55" t="str">
        <f t="shared" ref="AH33" si="231">IF(R33=0,"0",G33/R33)</f>
        <v>0</v>
      </c>
      <c r="AI33" s="56" t="str">
        <f t="shared" ref="AI33" si="232">IF(AF33="0","0",O33/AF33)</f>
        <v>0</v>
      </c>
      <c r="AJ33" s="56" t="str">
        <f t="shared" ref="AJ33" si="233">IF(AG33="0","0",O33/AG33)</f>
        <v>0</v>
      </c>
      <c r="AK33" s="56" t="str">
        <f t="shared" ref="AK33" si="234">IF(AH33="0","0",N33/AH33)</f>
        <v>0</v>
      </c>
      <c r="AL33" s="57">
        <f t="shared" ref="AL33" si="235">T33+Z33+AF33</f>
        <v>105.94800000000001</v>
      </c>
      <c r="AM33" s="57">
        <f t="shared" ref="AM33" si="236">U33+AA33+AG33</f>
        <v>52.974000000000004</v>
      </c>
      <c r="AN33" s="57">
        <f t="shared" ref="AN33" si="237">V33+AB33+AH33</f>
        <v>39.730500000000006</v>
      </c>
      <c r="AO33" s="6" t="str">
        <f t="shared" ref="AO33" si="238">IF(I33="Strap","Tensile",IF(P33&gt;0,"Tensile","Shear"))</f>
        <v>Tensile</v>
      </c>
      <c r="AP33" s="6" t="str">
        <f t="shared" ref="AP33" si="239">IF(I33="Strap","Tensile",IF(Q33&gt;0,"Tensile","Shear"))</f>
        <v>Shear</v>
      </c>
      <c r="AQ33" s="6" t="str">
        <f t="shared" ref="AQ33" si="240">IF(I33="Strap","Tensile",IF(R33&gt;0,"Tensile","Shear"))</f>
        <v>Shear</v>
      </c>
      <c r="AR33" s="58">
        <f t="shared" ref="AR33" si="241">W33+AC33+AI33</f>
        <v>108.092271680447</v>
      </c>
      <c r="AS33" s="58">
        <f t="shared" ref="AS33" si="242">X33+AD33+AJ33</f>
        <v>108.092271680447</v>
      </c>
      <c r="AT33" s="58">
        <f t="shared" ref="AT33" si="243">Y33+AE33+AK33</f>
        <v>144.12302890726266</v>
      </c>
    </row>
    <row r="34" spans="2:46" ht="31.5" customHeight="1" x14ac:dyDescent="0.25">
      <c r="B34" s="36">
        <v>25</v>
      </c>
      <c r="C34" s="134" t="s">
        <v>155</v>
      </c>
      <c r="D34" s="39">
        <v>6</v>
      </c>
      <c r="E34" s="78">
        <f t="shared" si="178"/>
        <v>235.44</v>
      </c>
      <c r="F34" s="78">
        <f t="shared" si="179"/>
        <v>117.72</v>
      </c>
      <c r="G34" s="78">
        <f t="shared" si="180"/>
        <v>88.289999999999992</v>
      </c>
      <c r="H34" s="36"/>
      <c r="I34" s="36">
        <v>8.8000000000000007</v>
      </c>
      <c r="J34" s="37" t="s">
        <v>37</v>
      </c>
      <c r="K34" s="49">
        <f>VLOOKUP(J34,'Fastener Data'!$E$3:$G$29,2,FALSE)</f>
        <v>17.893999999999998</v>
      </c>
      <c r="L34" s="26">
        <f>VLOOKUP(I34,'Fastener Data'!$B$3:$C$18,2,FALSE)</f>
        <v>640</v>
      </c>
      <c r="M34" s="26">
        <f t="shared" ref="M34" si="244">L34*0.5</f>
        <v>320</v>
      </c>
      <c r="N34" s="50">
        <f t="shared" si="181"/>
        <v>11452.16</v>
      </c>
      <c r="O34" s="50">
        <f t="shared" si="182"/>
        <v>5726.08</v>
      </c>
      <c r="P34" s="38">
        <v>12</v>
      </c>
      <c r="Q34" s="38">
        <v>0</v>
      </c>
      <c r="R34" s="38">
        <v>0</v>
      </c>
      <c r="S34" s="100">
        <f t="shared" si="183"/>
        <v>12</v>
      </c>
      <c r="T34" s="51">
        <f t="shared" si="184"/>
        <v>19.62</v>
      </c>
      <c r="U34" s="51">
        <f t="shared" si="185"/>
        <v>9.81</v>
      </c>
      <c r="V34" s="51">
        <f t="shared" si="186"/>
        <v>7.357499999999999</v>
      </c>
      <c r="W34" s="52">
        <f t="shared" si="187"/>
        <v>583.69826707441382</v>
      </c>
      <c r="X34" s="52">
        <f t="shared" si="188"/>
        <v>583.69826707441382</v>
      </c>
      <c r="Y34" s="52">
        <f t="shared" si="189"/>
        <v>778.26435609921862</v>
      </c>
      <c r="Z34" s="53" t="str">
        <f t="shared" si="190"/>
        <v>0</v>
      </c>
      <c r="AA34" s="53" t="str">
        <f t="shared" si="191"/>
        <v>0</v>
      </c>
      <c r="AB34" s="53" t="str">
        <f t="shared" si="192"/>
        <v>0</v>
      </c>
      <c r="AC34" s="54" t="str">
        <f t="shared" si="193"/>
        <v>0</v>
      </c>
      <c r="AD34" s="54" t="str">
        <f t="shared" si="194"/>
        <v>0</v>
      </c>
      <c r="AE34" s="54" t="str">
        <f t="shared" si="195"/>
        <v>0</v>
      </c>
      <c r="AF34" s="55" t="str">
        <f t="shared" si="196"/>
        <v>0</v>
      </c>
      <c r="AG34" s="55" t="str">
        <f t="shared" si="197"/>
        <v>0</v>
      </c>
      <c r="AH34" s="55" t="str">
        <f t="shared" si="198"/>
        <v>0</v>
      </c>
      <c r="AI34" s="56" t="str">
        <f t="shared" si="199"/>
        <v>0</v>
      </c>
      <c r="AJ34" s="56" t="str">
        <f t="shared" si="200"/>
        <v>0</v>
      </c>
      <c r="AK34" s="56" t="str">
        <f t="shared" si="201"/>
        <v>0</v>
      </c>
      <c r="AL34" s="57">
        <f t="shared" si="202"/>
        <v>19.62</v>
      </c>
      <c r="AM34" s="57">
        <f t="shared" si="203"/>
        <v>9.81</v>
      </c>
      <c r="AN34" s="57">
        <f t="shared" si="204"/>
        <v>7.357499999999999</v>
      </c>
      <c r="AO34" s="6" t="str">
        <f t="shared" si="205"/>
        <v>Tensile</v>
      </c>
      <c r="AP34" s="6" t="str">
        <f t="shared" si="206"/>
        <v>Shear</v>
      </c>
      <c r="AQ34" s="6" t="str">
        <f t="shared" si="207"/>
        <v>Shear</v>
      </c>
      <c r="AR34" s="58">
        <f t="shared" si="208"/>
        <v>583.69826707441382</v>
      </c>
      <c r="AS34" s="58">
        <f t="shared" si="209"/>
        <v>583.69826707441382</v>
      </c>
      <c r="AT34" s="58">
        <f t="shared" si="210"/>
        <v>778.26435609921862</v>
      </c>
    </row>
    <row r="35" spans="2:46" ht="30" x14ac:dyDescent="0.25">
      <c r="B35" s="36">
        <v>26</v>
      </c>
      <c r="C35" s="126" t="s">
        <v>156</v>
      </c>
      <c r="D35" s="127">
        <v>6</v>
      </c>
      <c r="E35" s="78">
        <f t="shared" si="178"/>
        <v>235.44</v>
      </c>
      <c r="F35" s="78">
        <f t="shared" si="179"/>
        <v>117.72</v>
      </c>
      <c r="G35" s="78">
        <f t="shared" si="180"/>
        <v>88.289999999999992</v>
      </c>
      <c r="H35" s="42"/>
      <c r="I35" s="36">
        <v>8.8000000000000007</v>
      </c>
      <c r="J35" s="37" t="s">
        <v>38</v>
      </c>
      <c r="K35" s="49">
        <f>VLOOKUP(J35,'Fastener Data'!$E$3:$G$29,2,FALSE)</f>
        <v>32.841000000000001</v>
      </c>
      <c r="L35" s="26">
        <f>VLOOKUP(I35,'Fastener Data'!$B$3:$C$18,2,FALSE)</f>
        <v>640</v>
      </c>
      <c r="M35" s="26">
        <f>0.5*L35</f>
        <v>320</v>
      </c>
      <c r="N35" s="50">
        <f t="shared" si="181"/>
        <v>21018.240000000002</v>
      </c>
      <c r="O35" s="50">
        <f t="shared" si="182"/>
        <v>10509.12</v>
      </c>
      <c r="P35" s="38">
        <v>0</v>
      </c>
      <c r="Q35" s="38">
        <v>0</v>
      </c>
      <c r="R35" s="38">
        <v>12</v>
      </c>
      <c r="S35" s="100">
        <f t="shared" si="183"/>
        <v>12</v>
      </c>
      <c r="T35" s="51" t="str">
        <f t="shared" si="184"/>
        <v>0</v>
      </c>
      <c r="U35" s="51" t="str">
        <f t="shared" si="185"/>
        <v>0</v>
      </c>
      <c r="V35" s="51" t="str">
        <f t="shared" si="186"/>
        <v>0</v>
      </c>
      <c r="W35" s="52" t="str">
        <f t="shared" si="187"/>
        <v>0</v>
      </c>
      <c r="X35" s="52" t="str">
        <f t="shared" si="188"/>
        <v>0</v>
      </c>
      <c r="Y35" s="52" t="str">
        <f t="shared" si="189"/>
        <v>0</v>
      </c>
      <c r="Z35" s="53" t="str">
        <f t="shared" si="190"/>
        <v>0</v>
      </c>
      <c r="AA35" s="53" t="str">
        <f t="shared" si="191"/>
        <v>0</v>
      </c>
      <c r="AB35" s="53" t="str">
        <f t="shared" si="192"/>
        <v>0</v>
      </c>
      <c r="AC35" s="54" t="str">
        <f t="shared" si="193"/>
        <v>0</v>
      </c>
      <c r="AD35" s="54" t="str">
        <f t="shared" si="194"/>
        <v>0</v>
      </c>
      <c r="AE35" s="54" t="str">
        <f t="shared" si="195"/>
        <v>0</v>
      </c>
      <c r="AF35" s="55">
        <f t="shared" si="196"/>
        <v>19.62</v>
      </c>
      <c r="AG35" s="55">
        <f t="shared" si="197"/>
        <v>9.81</v>
      </c>
      <c r="AH35" s="55">
        <f t="shared" si="198"/>
        <v>7.357499999999999</v>
      </c>
      <c r="AI35" s="56">
        <f t="shared" si="199"/>
        <v>535.63302752293578</v>
      </c>
      <c r="AJ35" s="56">
        <f t="shared" si="200"/>
        <v>1071.2660550458716</v>
      </c>
      <c r="AK35" s="56">
        <f t="shared" si="201"/>
        <v>2856.7094801223247</v>
      </c>
      <c r="AL35" s="57">
        <f t="shared" si="202"/>
        <v>19.62</v>
      </c>
      <c r="AM35" s="57">
        <f t="shared" si="203"/>
        <v>9.81</v>
      </c>
      <c r="AN35" s="57">
        <f t="shared" si="204"/>
        <v>7.357499999999999</v>
      </c>
      <c r="AO35" s="6" t="str">
        <f t="shared" si="205"/>
        <v>Shear</v>
      </c>
      <c r="AP35" s="6" t="str">
        <f t="shared" si="206"/>
        <v>Shear</v>
      </c>
      <c r="AQ35" s="6" t="str">
        <f t="shared" si="207"/>
        <v>Tensile</v>
      </c>
      <c r="AR35" s="58">
        <f t="shared" si="208"/>
        <v>535.63302752293578</v>
      </c>
      <c r="AS35" s="58">
        <f t="shared" si="209"/>
        <v>1071.2660550458716</v>
      </c>
      <c r="AT35" s="58">
        <f t="shared" si="210"/>
        <v>2856.7094801223247</v>
      </c>
    </row>
    <row r="36" spans="2:46" ht="30" x14ac:dyDescent="0.25">
      <c r="B36" s="36">
        <v>27</v>
      </c>
      <c r="C36" s="126" t="s">
        <v>157</v>
      </c>
      <c r="D36" s="127">
        <v>4</v>
      </c>
      <c r="E36" s="78">
        <f t="shared" ref="E36:E41" si="245">D36*$D$3*$D$4</f>
        <v>156.96</v>
      </c>
      <c r="F36" s="78">
        <f t="shared" ref="F36:F41" si="246">D36*$D$3*$D$5</f>
        <v>78.48</v>
      </c>
      <c r="G36" s="78">
        <f t="shared" ref="G36:G41" si="247">D36*$D$3*$D$6</f>
        <v>58.86</v>
      </c>
      <c r="H36" s="42"/>
      <c r="I36" s="36">
        <v>8.8000000000000007</v>
      </c>
      <c r="J36" s="37" t="s">
        <v>38</v>
      </c>
      <c r="K36" s="49">
        <f>VLOOKUP(J36,'Fastener Data'!$E$3:$G$29,2,FALSE)</f>
        <v>32.841000000000001</v>
      </c>
      <c r="L36" s="26">
        <f>VLOOKUP(I36,'Fastener Data'!$B$3:$C$18,2,FALSE)</f>
        <v>640</v>
      </c>
      <c r="M36" s="26">
        <f>0.5*L36</f>
        <v>320</v>
      </c>
      <c r="N36" s="50">
        <f t="shared" ref="N36:N41" si="248">K36*L36</f>
        <v>21018.240000000002</v>
      </c>
      <c r="O36" s="50">
        <f t="shared" ref="O36:O41" si="249">K36*M36</f>
        <v>10509.12</v>
      </c>
      <c r="P36" s="38">
        <v>0</v>
      </c>
      <c r="Q36" s="38">
        <v>0</v>
      </c>
      <c r="R36" s="38">
        <v>8</v>
      </c>
      <c r="S36" s="100">
        <f t="shared" ref="S36:S41" si="250">SUM(P36:R36)</f>
        <v>8</v>
      </c>
      <c r="T36" s="51" t="str">
        <f t="shared" ref="T36:T41" si="251">IF(P36=0,"0",E36/P36)</f>
        <v>0</v>
      </c>
      <c r="U36" s="51" t="str">
        <f t="shared" ref="U36:U41" si="252">IF(P36=0,"0",F36/P36)</f>
        <v>0</v>
      </c>
      <c r="V36" s="51" t="str">
        <f t="shared" ref="V36:V41" si="253">IF(P36=0,"0",G36/P36)</f>
        <v>0</v>
      </c>
      <c r="W36" s="52" t="str">
        <f t="shared" ref="W36:W41" si="254">IF(T36="0","0",N36/T36)</f>
        <v>0</v>
      </c>
      <c r="X36" s="52" t="str">
        <f t="shared" ref="X36:X41" si="255">IF(U36="0","0",O36/U36)</f>
        <v>0</v>
      </c>
      <c r="Y36" s="52" t="str">
        <f t="shared" ref="Y36:Y41" si="256">IF(V36="0","0",O36/V36)</f>
        <v>0</v>
      </c>
      <c r="Z36" s="53" t="str">
        <f t="shared" ref="Z36:Z41" si="257">IF(Q36=0,"0",E36/Q36)</f>
        <v>0</v>
      </c>
      <c r="AA36" s="53" t="str">
        <f t="shared" ref="AA36:AA41" si="258">IF(Q36=0,"0",F36/Q36)</f>
        <v>0</v>
      </c>
      <c r="AB36" s="53" t="str">
        <f t="shared" ref="AB36:AB41" si="259">IF(Q36=0,"0",G36/Q36)</f>
        <v>0</v>
      </c>
      <c r="AC36" s="54" t="str">
        <f t="shared" ref="AC36:AC41" si="260">IF(Z36="0","0",O36/Z36)</f>
        <v>0</v>
      </c>
      <c r="AD36" s="54" t="str">
        <f t="shared" ref="AD36:AD41" si="261">IF(AA36="0","0",N36/AA36)</f>
        <v>0</v>
      </c>
      <c r="AE36" s="54" t="str">
        <f t="shared" ref="AE36:AE41" si="262">IF(AB36="0","0",O36/AB36)</f>
        <v>0</v>
      </c>
      <c r="AF36" s="55">
        <f t="shared" ref="AF36:AF41" si="263">IF(R36=0,"0",E36/R36)</f>
        <v>19.62</v>
      </c>
      <c r="AG36" s="55">
        <f t="shared" ref="AG36:AG41" si="264">IF(R36=0,"0",F36/R36)</f>
        <v>9.81</v>
      </c>
      <c r="AH36" s="55">
        <f t="shared" ref="AH36:AH41" si="265">IF(R36=0,"0",G36/R36)</f>
        <v>7.3574999999999999</v>
      </c>
      <c r="AI36" s="56">
        <f t="shared" ref="AI36:AI41" si="266">IF(AF36="0","0",O36/AF36)</f>
        <v>535.63302752293578</v>
      </c>
      <c r="AJ36" s="56">
        <f t="shared" ref="AJ36:AJ41" si="267">IF(AG36="0","0",O36/AG36)</f>
        <v>1071.2660550458716</v>
      </c>
      <c r="AK36" s="56">
        <f t="shared" ref="AK36:AK41" si="268">IF(AH36="0","0",N36/AH36)</f>
        <v>2856.7094801223243</v>
      </c>
      <c r="AL36" s="57">
        <f t="shared" ref="AL36:AL41" si="269">T36+Z36+AF36</f>
        <v>19.62</v>
      </c>
      <c r="AM36" s="57">
        <f t="shared" ref="AM36:AM41" si="270">U36+AA36+AG36</f>
        <v>9.81</v>
      </c>
      <c r="AN36" s="57">
        <f t="shared" ref="AN36:AN41" si="271">V36+AB36+AH36</f>
        <v>7.3574999999999999</v>
      </c>
      <c r="AO36" s="6" t="str">
        <f t="shared" ref="AO36:AO41" si="272">IF(I36="Strap","Tensile",IF(P36&gt;0,"Tensile","Shear"))</f>
        <v>Shear</v>
      </c>
      <c r="AP36" s="6" t="str">
        <f t="shared" ref="AP36:AP41" si="273">IF(I36="Strap","Tensile",IF(Q36&gt;0,"Tensile","Shear"))</f>
        <v>Shear</v>
      </c>
      <c r="AQ36" s="6" t="str">
        <f t="shared" ref="AQ36:AQ41" si="274">IF(I36="Strap","Tensile",IF(R36&gt;0,"Tensile","Shear"))</f>
        <v>Tensile</v>
      </c>
      <c r="AR36" s="58">
        <f t="shared" ref="AR36:AR41" si="275">W36+AC36+AI36</f>
        <v>535.63302752293578</v>
      </c>
      <c r="AS36" s="58">
        <f t="shared" ref="AS36:AS41" si="276">X36+AD36+AJ36</f>
        <v>1071.2660550458716</v>
      </c>
      <c r="AT36" s="58">
        <f t="shared" ref="AT36:AT41" si="277">Y36+AE36+AK36</f>
        <v>2856.7094801223243</v>
      </c>
    </row>
    <row r="37" spans="2:46" ht="33.75" customHeight="1" x14ac:dyDescent="0.25">
      <c r="B37" s="36">
        <v>28</v>
      </c>
      <c r="C37" s="35" t="s">
        <v>158</v>
      </c>
      <c r="D37" s="39">
        <v>3</v>
      </c>
      <c r="E37" s="78">
        <f t="shared" si="245"/>
        <v>117.72</v>
      </c>
      <c r="F37" s="78">
        <f t="shared" si="246"/>
        <v>58.86</v>
      </c>
      <c r="G37" s="78">
        <f t="shared" si="247"/>
        <v>44.144999999999996</v>
      </c>
      <c r="H37" s="36"/>
      <c r="I37" s="36">
        <v>8.8000000000000007</v>
      </c>
      <c r="J37" s="37" t="s">
        <v>37</v>
      </c>
      <c r="K37" s="49">
        <f>VLOOKUP(J37,'Fastener Data'!$E$3:$G$29,2,FALSE)</f>
        <v>17.893999999999998</v>
      </c>
      <c r="L37" s="26">
        <f>VLOOKUP(I37,'Fastener Data'!$B$3:$C$18,2,FALSE)</f>
        <v>640</v>
      </c>
      <c r="M37" s="26">
        <f t="shared" ref="M37" si="278">L37*0.5</f>
        <v>320</v>
      </c>
      <c r="N37" s="50">
        <f t="shared" si="248"/>
        <v>11452.16</v>
      </c>
      <c r="O37" s="50">
        <f t="shared" si="249"/>
        <v>5726.08</v>
      </c>
      <c r="P37" s="38">
        <v>6</v>
      </c>
      <c r="Q37" s="38">
        <v>0</v>
      </c>
      <c r="R37" s="38">
        <v>0</v>
      </c>
      <c r="S37" s="100">
        <f t="shared" si="250"/>
        <v>6</v>
      </c>
      <c r="T37" s="51">
        <f t="shared" si="251"/>
        <v>19.62</v>
      </c>
      <c r="U37" s="51">
        <f t="shared" si="252"/>
        <v>9.81</v>
      </c>
      <c r="V37" s="51">
        <f t="shared" si="253"/>
        <v>7.357499999999999</v>
      </c>
      <c r="W37" s="52">
        <f t="shared" si="254"/>
        <v>583.69826707441382</v>
      </c>
      <c r="X37" s="52">
        <f t="shared" si="255"/>
        <v>583.69826707441382</v>
      </c>
      <c r="Y37" s="52">
        <f t="shared" si="256"/>
        <v>778.26435609921862</v>
      </c>
      <c r="Z37" s="53" t="str">
        <f t="shared" si="257"/>
        <v>0</v>
      </c>
      <c r="AA37" s="53" t="str">
        <f t="shared" si="258"/>
        <v>0</v>
      </c>
      <c r="AB37" s="53" t="str">
        <f t="shared" si="259"/>
        <v>0</v>
      </c>
      <c r="AC37" s="54" t="str">
        <f t="shared" si="260"/>
        <v>0</v>
      </c>
      <c r="AD37" s="54" t="str">
        <f t="shared" si="261"/>
        <v>0</v>
      </c>
      <c r="AE37" s="54" t="str">
        <f t="shared" si="262"/>
        <v>0</v>
      </c>
      <c r="AF37" s="55" t="str">
        <f t="shared" si="263"/>
        <v>0</v>
      </c>
      <c r="AG37" s="55" t="str">
        <f t="shared" si="264"/>
        <v>0</v>
      </c>
      <c r="AH37" s="55" t="str">
        <f t="shared" si="265"/>
        <v>0</v>
      </c>
      <c r="AI37" s="56" t="str">
        <f t="shared" si="266"/>
        <v>0</v>
      </c>
      <c r="AJ37" s="56" t="str">
        <f t="shared" si="267"/>
        <v>0</v>
      </c>
      <c r="AK37" s="56" t="str">
        <f t="shared" si="268"/>
        <v>0</v>
      </c>
      <c r="AL37" s="57">
        <f t="shared" si="269"/>
        <v>19.62</v>
      </c>
      <c r="AM37" s="57">
        <f t="shared" si="270"/>
        <v>9.81</v>
      </c>
      <c r="AN37" s="57">
        <f t="shared" si="271"/>
        <v>7.357499999999999</v>
      </c>
      <c r="AO37" s="6" t="str">
        <f t="shared" si="272"/>
        <v>Tensile</v>
      </c>
      <c r="AP37" s="6" t="str">
        <f t="shared" si="273"/>
        <v>Shear</v>
      </c>
      <c r="AQ37" s="6" t="str">
        <f t="shared" si="274"/>
        <v>Shear</v>
      </c>
      <c r="AR37" s="58">
        <f t="shared" si="275"/>
        <v>583.69826707441382</v>
      </c>
      <c r="AS37" s="58">
        <f t="shared" si="276"/>
        <v>583.69826707441382</v>
      </c>
      <c r="AT37" s="58">
        <f t="shared" si="277"/>
        <v>778.26435609921862</v>
      </c>
    </row>
    <row r="38" spans="2:46" ht="30" x14ac:dyDescent="0.25">
      <c r="B38" s="36">
        <v>29</v>
      </c>
      <c r="C38" s="35" t="s">
        <v>159</v>
      </c>
      <c r="D38" s="127">
        <v>3</v>
      </c>
      <c r="E38" s="78">
        <f t="shared" si="245"/>
        <v>117.72</v>
      </c>
      <c r="F38" s="78">
        <f t="shared" si="246"/>
        <v>58.86</v>
      </c>
      <c r="G38" s="78">
        <f t="shared" si="247"/>
        <v>44.144999999999996</v>
      </c>
      <c r="H38" s="42"/>
      <c r="I38" s="36">
        <v>8.8000000000000007</v>
      </c>
      <c r="J38" s="37" t="s">
        <v>37</v>
      </c>
      <c r="K38" s="49">
        <f>VLOOKUP(J38,'Fastener Data'!$E$3:$G$29,2,FALSE)</f>
        <v>17.893999999999998</v>
      </c>
      <c r="L38" s="26">
        <f>VLOOKUP(I38,'Fastener Data'!$B$3:$C$18,2,FALSE)</f>
        <v>640</v>
      </c>
      <c r="M38" s="26">
        <f>0.5*L38</f>
        <v>320</v>
      </c>
      <c r="N38" s="50">
        <f t="shared" si="248"/>
        <v>11452.16</v>
      </c>
      <c r="O38" s="50">
        <f t="shared" si="249"/>
        <v>5726.08</v>
      </c>
      <c r="P38" s="38">
        <v>0</v>
      </c>
      <c r="Q38" s="38">
        <v>8</v>
      </c>
      <c r="R38" s="38">
        <v>0</v>
      </c>
      <c r="S38" s="100">
        <f t="shared" si="250"/>
        <v>8</v>
      </c>
      <c r="T38" s="51" t="str">
        <f t="shared" si="251"/>
        <v>0</v>
      </c>
      <c r="U38" s="51" t="str">
        <f t="shared" si="252"/>
        <v>0</v>
      </c>
      <c r="V38" s="51" t="str">
        <f t="shared" si="253"/>
        <v>0</v>
      </c>
      <c r="W38" s="52" t="str">
        <f t="shared" si="254"/>
        <v>0</v>
      </c>
      <c r="X38" s="52" t="str">
        <f t="shared" si="255"/>
        <v>0</v>
      </c>
      <c r="Y38" s="52" t="str">
        <f t="shared" si="256"/>
        <v>0</v>
      </c>
      <c r="Z38" s="53">
        <f t="shared" si="257"/>
        <v>14.715</v>
      </c>
      <c r="AA38" s="53">
        <f t="shared" si="258"/>
        <v>7.3574999999999999</v>
      </c>
      <c r="AB38" s="53">
        <f t="shared" si="259"/>
        <v>5.5181249999999995</v>
      </c>
      <c r="AC38" s="54">
        <f t="shared" si="260"/>
        <v>389.13217804960925</v>
      </c>
      <c r="AD38" s="54">
        <f t="shared" si="261"/>
        <v>1556.528712198437</v>
      </c>
      <c r="AE38" s="54">
        <f t="shared" si="262"/>
        <v>1037.6858081322914</v>
      </c>
      <c r="AF38" s="55" t="str">
        <f t="shared" si="263"/>
        <v>0</v>
      </c>
      <c r="AG38" s="55" t="str">
        <f t="shared" si="264"/>
        <v>0</v>
      </c>
      <c r="AH38" s="55" t="str">
        <f t="shared" si="265"/>
        <v>0</v>
      </c>
      <c r="AI38" s="56" t="str">
        <f t="shared" si="266"/>
        <v>0</v>
      </c>
      <c r="AJ38" s="56" t="str">
        <f t="shared" si="267"/>
        <v>0</v>
      </c>
      <c r="AK38" s="56" t="str">
        <f t="shared" si="268"/>
        <v>0</v>
      </c>
      <c r="AL38" s="57">
        <f t="shared" si="269"/>
        <v>14.715</v>
      </c>
      <c r="AM38" s="57">
        <f t="shared" si="270"/>
        <v>7.3574999999999999</v>
      </c>
      <c r="AN38" s="57">
        <f t="shared" si="271"/>
        <v>5.5181249999999995</v>
      </c>
      <c r="AO38" s="6" t="str">
        <f t="shared" si="272"/>
        <v>Shear</v>
      </c>
      <c r="AP38" s="6" t="str">
        <f t="shared" si="273"/>
        <v>Tensile</v>
      </c>
      <c r="AQ38" s="6" t="str">
        <f t="shared" si="274"/>
        <v>Shear</v>
      </c>
      <c r="AR38" s="58">
        <f t="shared" si="275"/>
        <v>389.13217804960925</v>
      </c>
      <c r="AS38" s="58">
        <f t="shared" si="276"/>
        <v>1556.528712198437</v>
      </c>
      <c r="AT38" s="58">
        <f t="shared" si="277"/>
        <v>1037.6858081322914</v>
      </c>
    </row>
    <row r="39" spans="2:46" ht="30" x14ac:dyDescent="0.25">
      <c r="B39" s="36">
        <v>30</v>
      </c>
      <c r="C39" s="126" t="s">
        <v>160</v>
      </c>
      <c r="D39" s="127">
        <v>4</v>
      </c>
      <c r="E39" s="78">
        <f t="shared" ref="E39" si="279">D39*$D$3*$D$4</f>
        <v>156.96</v>
      </c>
      <c r="F39" s="78">
        <f t="shared" ref="F39" si="280">D39*$D$3*$D$5</f>
        <v>78.48</v>
      </c>
      <c r="G39" s="78">
        <f t="shared" ref="G39" si="281">D39*$D$3*$D$6</f>
        <v>58.86</v>
      </c>
      <c r="H39" s="42"/>
      <c r="I39" s="36">
        <v>8.8000000000000007</v>
      </c>
      <c r="J39" s="37" t="s">
        <v>37</v>
      </c>
      <c r="K39" s="49">
        <f>VLOOKUP(J39,'Fastener Data'!$E$3:$G$29,2,FALSE)</f>
        <v>17.893999999999998</v>
      </c>
      <c r="L39" s="26">
        <f>VLOOKUP(I39,'Fastener Data'!$B$3:$C$18,2,FALSE)</f>
        <v>640</v>
      </c>
      <c r="M39" s="26">
        <f>0.5*L39</f>
        <v>320</v>
      </c>
      <c r="N39" s="50">
        <f t="shared" ref="N39" si="282">K39*L39</f>
        <v>11452.16</v>
      </c>
      <c r="O39" s="50">
        <f t="shared" ref="O39" si="283">K39*M39</f>
        <v>5726.08</v>
      </c>
      <c r="P39" s="38">
        <v>0</v>
      </c>
      <c r="Q39" s="38">
        <v>0</v>
      </c>
      <c r="R39" s="38">
        <v>6</v>
      </c>
      <c r="S39" s="100">
        <f t="shared" ref="S39" si="284">SUM(P39:R39)</f>
        <v>6</v>
      </c>
      <c r="T39" s="51" t="str">
        <f t="shared" ref="T39" si="285">IF(P39=0,"0",E39/P39)</f>
        <v>0</v>
      </c>
      <c r="U39" s="51" t="str">
        <f t="shared" ref="U39" si="286">IF(P39=0,"0",F39/P39)</f>
        <v>0</v>
      </c>
      <c r="V39" s="51" t="str">
        <f t="shared" ref="V39" si="287">IF(P39=0,"0",G39/P39)</f>
        <v>0</v>
      </c>
      <c r="W39" s="52" t="str">
        <f t="shared" ref="W39" si="288">IF(T39="0","0",N39/T39)</f>
        <v>0</v>
      </c>
      <c r="X39" s="52" t="str">
        <f t="shared" ref="X39" si="289">IF(U39="0","0",O39/U39)</f>
        <v>0</v>
      </c>
      <c r="Y39" s="52" t="str">
        <f t="shared" ref="Y39" si="290">IF(V39="0","0",O39/V39)</f>
        <v>0</v>
      </c>
      <c r="Z39" s="53" t="str">
        <f t="shared" ref="Z39" si="291">IF(Q39=0,"0",E39/Q39)</f>
        <v>0</v>
      </c>
      <c r="AA39" s="53" t="str">
        <f t="shared" ref="AA39" si="292">IF(Q39=0,"0",F39/Q39)</f>
        <v>0</v>
      </c>
      <c r="AB39" s="53" t="str">
        <f t="shared" ref="AB39" si="293">IF(Q39=0,"0",G39/Q39)</f>
        <v>0</v>
      </c>
      <c r="AC39" s="54" t="str">
        <f t="shared" ref="AC39" si="294">IF(Z39="0","0",O39/Z39)</f>
        <v>0</v>
      </c>
      <c r="AD39" s="54" t="str">
        <f t="shared" ref="AD39" si="295">IF(AA39="0","0",N39/AA39)</f>
        <v>0</v>
      </c>
      <c r="AE39" s="54" t="str">
        <f t="shared" ref="AE39" si="296">IF(AB39="0","0",O39/AB39)</f>
        <v>0</v>
      </c>
      <c r="AF39" s="55">
        <f t="shared" ref="AF39" si="297">IF(R39=0,"0",E39/R39)</f>
        <v>26.16</v>
      </c>
      <c r="AG39" s="55">
        <f t="shared" ref="AG39" si="298">IF(R39=0,"0",F39/R39)</f>
        <v>13.08</v>
      </c>
      <c r="AH39" s="55">
        <f t="shared" ref="AH39" si="299">IF(R39=0,"0",G39/R39)</f>
        <v>9.81</v>
      </c>
      <c r="AI39" s="56">
        <f t="shared" ref="AI39" si="300">IF(AF39="0","0",O39/AF39)</f>
        <v>218.8868501529052</v>
      </c>
      <c r="AJ39" s="56">
        <f t="shared" ref="AJ39" si="301">IF(AG39="0","0",O39/AG39)</f>
        <v>437.77370030581039</v>
      </c>
      <c r="AK39" s="56">
        <f t="shared" ref="AK39" si="302">IF(AH39="0","0",N39/AH39)</f>
        <v>1167.3965341488276</v>
      </c>
      <c r="AL39" s="57">
        <f t="shared" ref="AL39" si="303">T39+Z39+AF39</f>
        <v>26.16</v>
      </c>
      <c r="AM39" s="57">
        <f t="shared" ref="AM39" si="304">U39+AA39+AG39</f>
        <v>13.08</v>
      </c>
      <c r="AN39" s="57">
        <f t="shared" ref="AN39" si="305">V39+AB39+AH39</f>
        <v>9.81</v>
      </c>
      <c r="AO39" s="6" t="str">
        <f t="shared" ref="AO39" si="306">IF(I39="Strap","Tensile",IF(P39&gt;0,"Tensile","Shear"))</f>
        <v>Shear</v>
      </c>
      <c r="AP39" s="6" t="str">
        <f t="shared" ref="AP39" si="307">IF(I39="Strap","Tensile",IF(Q39&gt;0,"Tensile","Shear"))</f>
        <v>Shear</v>
      </c>
      <c r="AQ39" s="6" t="str">
        <f t="shared" ref="AQ39" si="308">IF(I39="Strap","Tensile",IF(R39&gt;0,"Tensile","Shear"))</f>
        <v>Tensile</v>
      </c>
      <c r="AR39" s="58">
        <f t="shared" ref="AR39" si="309">W39+AC39+AI39</f>
        <v>218.8868501529052</v>
      </c>
      <c r="AS39" s="58">
        <f t="shared" ref="AS39" si="310">X39+AD39+AJ39</f>
        <v>437.77370030581039</v>
      </c>
      <c r="AT39" s="58">
        <f t="shared" ref="AT39" si="311">Y39+AE39+AK39</f>
        <v>1167.3965341488276</v>
      </c>
    </row>
    <row r="40" spans="2:46" ht="17.25" customHeight="1" x14ac:dyDescent="0.25">
      <c r="B40" s="36">
        <v>31</v>
      </c>
      <c r="C40" s="35" t="s">
        <v>132</v>
      </c>
      <c r="D40" s="39">
        <v>7</v>
      </c>
      <c r="E40" s="78">
        <f t="shared" si="245"/>
        <v>274.68</v>
      </c>
      <c r="F40" s="78">
        <f t="shared" si="246"/>
        <v>137.34</v>
      </c>
      <c r="G40" s="78">
        <f t="shared" si="247"/>
        <v>103.005</v>
      </c>
      <c r="H40" s="36"/>
      <c r="I40" s="36">
        <v>8.8000000000000007</v>
      </c>
      <c r="J40" s="37" t="s">
        <v>38</v>
      </c>
      <c r="K40" s="49">
        <f>VLOOKUP(J40,'Fastener Data'!$E$3:$G$29,2,FALSE)</f>
        <v>32.841000000000001</v>
      </c>
      <c r="L40" s="26">
        <f>VLOOKUP(I40,'Fastener Data'!$B$3:$C$18,2,FALSE)</f>
        <v>640</v>
      </c>
      <c r="M40" s="26">
        <f t="shared" ref="M40" si="312">L40*0.5</f>
        <v>320</v>
      </c>
      <c r="N40" s="50">
        <f t="shared" si="248"/>
        <v>21018.240000000002</v>
      </c>
      <c r="O40" s="50">
        <f t="shared" si="249"/>
        <v>10509.12</v>
      </c>
      <c r="P40" s="38">
        <v>0</v>
      </c>
      <c r="Q40" s="38">
        <v>0</v>
      </c>
      <c r="R40" s="38">
        <v>4</v>
      </c>
      <c r="S40" s="100">
        <f t="shared" si="250"/>
        <v>4</v>
      </c>
      <c r="T40" s="51" t="str">
        <f t="shared" si="251"/>
        <v>0</v>
      </c>
      <c r="U40" s="51" t="str">
        <f t="shared" si="252"/>
        <v>0</v>
      </c>
      <c r="V40" s="51" t="str">
        <f t="shared" si="253"/>
        <v>0</v>
      </c>
      <c r="W40" s="52" t="str">
        <f t="shared" si="254"/>
        <v>0</v>
      </c>
      <c r="X40" s="52" t="str">
        <f t="shared" si="255"/>
        <v>0</v>
      </c>
      <c r="Y40" s="52" t="str">
        <f t="shared" si="256"/>
        <v>0</v>
      </c>
      <c r="Z40" s="53" t="str">
        <f t="shared" si="257"/>
        <v>0</v>
      </c>
      <c r="AA40" s="53" t="str">
        <f t="shared" si="258"/>
        <v>0</v>
      </c>
      <c r="AB40" s="53" t="str">
        <f t="shared" si="259"/>
        <v>0</v>
      </c>
      <c r="AC40" s="54" t="str">
        <f t="shared" si="260"/>
        <v>0</v>
      </c>
      <c r="AD40" s="54" t="str">
        <f t="shared" si="261"/>
        <v>0</v>
      </c>
      <c r="AE40" s="54" t="str">
        <f t="shared" si="262"/>
        <v>0</v>
      </c>
      <c r="AF40" s="55">
        <f t="shared" si="263"/>
        <v>68.67</v>
      </c>
      <c r="AG40" s="55">
        <f t="shared" si="264"/>
        <v>34.335000000000001</v>
      </c>
      <c r="AH40" s="55">
        <f t="shared" si="265"/>
        <v>25.751249999999999</v>
      </c>
      <c r="AI40" s="56">
        <f t="shared" si="266"/>
        <v>153.03800786369595</v>
      </c>
      <c r="AJ40" s="56">
        <f t="shared" si="267"/>
        <v>306.0760157273919</v>
      </c>
      <c r="AK40" s="56">
        <f t="shared" si="268"/>
        <v>816.20270860637845</v>
      </c>
      <c r="AL40" s="57">
        <f t="shared" si="269"/>
        <v>68.67</v>
      </c>
      <c r="AM40" s="57">
        <f t="shared" si="270"/>
        <v>34.335000000000001</v>
      </c>
      <c r="AN40" s="57">
        <f t="shared" si="271"/>
        <v>25.751249999999999</v>
      </c>
      <c r="AO40" s="6" t="str">
        <f t="shared" si="272"/>
        <v>Shear</v>
      </c>
      <c r="AP40" s="6" t="str">
        <f t="shared" si="273"/>
        <v>Shear</v>
      </c>
      <c r="AQ40" s="6" t="str">
        <f t="shared" si="274"/>
        <v>Tensile</v>
      </c>
      <c r="AR40" s="58">
        <f t="shared" si="275"/>
        <v>153.03800786369595</v>
      </c>
      <c r="AS40" s="58">
        <f t="shared" si="276"/>
        <v>306.0760157273919</v>
      </c>
      <c r="AT40" s="58">
        <f t="shared" si="277"/>
        <v>816.20270860637845</v>
      </c>
    </row>
    <row r="41" spans="2:46" x14ac:dyDescent="0.25">
      <c r="B41" s="36">
        <v>32</v>
      </c>
      <c r="C41" s="35" t="s">
        <v>131</v>
      </c>
      <c r="D41" s="128">
        <v>2.8</v>
      </c>
      <c r="E41" s="78">
        <f t="shared" si="245"/>
        <v>109.872</v>
      </c>
      <c r="F41" s="78">
        <f t="shared" si="246"/>
        <v>54.936</v>
      </c>
      <c r="G41" s="78">
        <f t="shared" si="247"/>
        <v>41.201999999999998</v>
      </c>
      <c r="H41" s="42"/>
      <c r="I41" s="36">
        <v>8.8000000000000007</v>
      </c>
      <c r="J41" s="37" t="s">
        <v>38</v>
      </c>
      <c r="K41" s="49">
        <f>VLOOKUP(J41,'Fastener Data'!$E$3:$G$29,2,FALSE)</f>
        <v>32.841000000000001</v>
      </c>
      <c r="L41" s="26">
        <f>VLOOKUP(I41,'Fastener Data'!$B$3:$C$18,2,FALSE)</f>
        <v>640</v>
      </c>
      <c r="M41" s="26">
        <f>0.5*L41</f>
        <v>320</v>
      </c>
      <c r="N41" s="50">
        <f t="shared" si="248"/>
        <v>21018.240000000002</v>
      </c>
      <c r="O41" s="50">
        <f t="shared" si="249"/>
        <v>10509.12</v>
      </c>
      <c r="P41" s="38">
        <v>0</v>
      </c>
      <c r="Q41" s="38">
        <v>0</v>
      </c>
      <c r="R41" s="38">
        <v>4</v>
      </c>
      <c r="S41" s="100">
        <f t="shared" si="250"/>
        <v>4</v>
      </c>
      <c r="T41" s="51" t="str">
        <f t="shared" si="251"/>
        <v>0</v>
      </c>
      <c r="U41" s="51" t="str">
        <f t="shared" si="252"/>
        <v>0</v>
      </c>
      <c r="V41" s="51" t="str">
        <f t="shared" si="253"/>
        <v>0</v>
      </c>
      <c r="W41" s="52" t="str">
        <f t="shared" si="254"/>
        <v>0</v>
      </c>
      <c r="X41" s="52" t="str">
        <f t="shared" si="255"/>
        <v>0</v>
      </c>
      <c r="Y41" s="52" t="str">
        <f t="shared" si="256"/>
        <v>0</v>
      </c>
      <c r="Z41" s="53" t="str">
        <f t="shared" si="257"/>
        <v>0</v>
      </c>
      <c r="AA41" s="53" t="str">
        <f t="shared" si="258"/>
        <v>0</v>
      </c>
      <c r="AB41" s="53" t="str">
        <f t="shared" si="259"/>
        <v>0</v>
      </c>
      <c r="AC41" s="54" t="str">
        <f t="shared" si="260"/>
        <v>0</v>
      </c>
      <c r="AD41" s="54" t="str">
        <f t="shared" si="261"/>
        <v>0</v>
      </c>
      <c r="AE41" s="54" t="str">
        <f t="shared" si="262"/>
        <v>0</v>
      </c>
      <c r="AF41" s="55">
        <f t="shared" si="263"/>
        <v>27.468</v>
      </c>
      <c r="AG41" s="55">
        <f t="shared" si="264"/>
        <v>13.734</v>
      </c>
      <c r="AH41" s="55">
        <f t="shared" si="265"/>
        <v>10.3005</v>
      </c>
      <c r="AI41" s="56">
        <f t="shared" si="266"/>
        <v>382.59501965923988</v>
      </c>
      <c r="AJ41" s="56">
        <f t="shared" si="267"/>
        <v>765.19003931847976</v>
      </c>
      <c r="AK41" s="56">
        <f t="shared" si="268"/>
        <v>2040.5067715159462</v>
      </c>
      <c r="AL41" s="57">
        <f t="shared" si="269"/>
        <v>27.468</v>
      </c>
      <c r="AM41" s="57">
        <f t="shared" si="270"/>
        <v>13.734</v>
      </c>
      <c r="AN41" s="57">
        <f t="shared" si="271"/>
        <v>10.3005</v>
      </c>
      <c r="AO41" s="6" t="str">
        <f t="shared" si="272"/>
        <v>Shear</v>
      </c>
      <c r="AP41" s="6" t="str">
        <f t="shared" si="273"/>
        <v>Shear</v>
      </c>
      <c r="AQ41" s="6" t="str">
        <f t="shared" si="274"/>
        <v>Tensile</v>
      </c>
      <c r="AR41" s="58">
        <f t="shared" si="275"/>
        <v>382.59501965923988</v>
      </c>
      <c r="AS41" s="58">
        <f t="shared" si="276"/>
        <v>765.19003931847976</v>
      </c>
      <c r="AT41" s="58">
        <f t="shared" si="277"/>
        <v>2040.5067715159462</v>
      </c>
    </row>
    <row r="42" spans="2:46" ht="30" x14ac:dyDescent="0.25">
      <c r="B42" s="36">
        <v>33</v>
      </c>
      <c r="C42" s="35" t="s">
        <v>142</v>
      </c>
      <c r="D42" s="127">
        <v>91</v>
      </c>
      <c r="E42" s="78">
        <f t="shared" ref="E42" si="313">D42*$D$3*$D$4</f>
        <v>3570.84</v>
      </c>
      <c r="F42" s="78">
        <f t="shared" ref="F42" si="314">D42*$D$3*$D$5</f>
        <v>1785.42</v>
      </c>
      <c r="G42" s="78">
        <f t="shared" ref="G42" si="315">D42*$D$3*$D$6</f>
        <v>1339.0650000000001</v>
      </c>
      <c r="H42" s="42"/>
      <c r="I42" s="36">
        <v>8.8000000000000007</v>
      </c>
      <c r="J42" s="132" t="s">
        <v>144</v>
      </c>
      <c r="K42" s="49">
        <f>VLOOKUP(J42,'Fastener Data'!$E$3:$G$29,2,FALSE)</f>
        <v>21.711908771848677</v>
      </c>
      <c r="L42" s="26">
        <f>VLOOKUP(I42,'Fastener Data'!$B$3:$C$18,2,FALSE)</f>
        <v>640</v>
      </c>
      <c r="M42" s="26">
        <f>0.5*L42</f>
        <v>320</v>
      </c>
      <c r="N42" s="50">
        <f t="shared" ref="N42" si="316">K42*L42</f>
        <v>13895.621613983152</v>
      </c>
      <c r="O42" s="50">
        <f t="shared" ref="O42" si="317">K42*M42</f>
        <v>6947.8108069915761</v>
      </c>
      <c r="P42" s="38">
        <v>0</v>
      </c>
      <c r="Q42" s="38">
        <v>6</v>
      </c>
      <c r="R42" s="38">
        <v>0</v>
      </c>
      <c r="S42" s="100">
        <f t="shared" ref="S42" si="318">SUM(P42:R42)</f>
        <v>6</v>
      </c>
      <c r="T42" s="51" t="str">
        <f t="shared" ref="T42" si="319">IF(P42=0,"0",E42/P42)</f>
        <v>0</v>
      </c>
      <c r="U42" s="51" t="str">
        <f t="shared" ref="U42" si="320">IF(P42=0,"0",F42/P42)</f>
        <v>0</v>
      </c>
      <c r="V42" s="51" t="str">
        <f t="shared" ref="V42" si="321">IF(P42=0,"0",G42/P42)</f>
        <v>0</v>
      </c>
      <c r="W42" s="52" t="str">
        <f t="shared" ref="W42" si="322">IF(T42="0","0",N42/T42)</f>
        <v>0</v>
      </c>
      <c r="X42" s="52" t="str">
        <f t="shared" ref="X42" si="323">IF(U42="0","0",O42/U42)</f>
        <v>0</v>
      </c>
      <c r="Y42" s="52" t="str">
        <f t="shared" ref="Y42" si="324">IF(V42="0","0",O42/V42)</f>
        <v>0</v>
      </c>
      <c r="Z42" s="53">
        <f t="shared" ref="Z42" si="325">IF(Q42=0,"0",E42/Q42)</f>
        <v>595.14</v>
      </c>
      <c r="AA42" s="53">
        <f t="shared" ref="AA42" si="326">IF(Q42=0,"0",F42/Q42)</f>
        <v>297.57</v>
      </c>
      <c r="AB42" s="53">
        <f t="shared" ref="AB42" si="327">IF(Q42=0,"0",G42/Q42)</f>
        <v>223.17750000000001</v>
      </c>
      <c r="AC42" s="54">
        <f t="shared" ref="AC42" si="328">IF(Z42="0","0",O42/Z42)</f>
        <v>11.67424607149843</v>
      </c>
      <c r="AD42" s="54">
        <f t="shared" ref="AD42" si="329">IF(AA42="0","0",N42/AA42)</f>
        <v>46.696984285993722</v>
      </c>
      <c r="AE42" s="54">
        <f t="shared" ref="AE42" si="330">IF(AB42="0","0",O42/AB42)</f>
        <v>31.131322857329149</v>
      </c>
      <c r="AF42" s="55" t="str">
        <f t="shared" ref="AF42" si="331">IF(R42=0,"0",E42/R42)</f>
        <v>0</v>
      </c>
      <c r="AG42" s="55" t="str">
        <f t="shared" ref="AG42" si="332">IF(R42=0,"0",F42/R42)</f>
        <v>0</v>
      </c>
      <c r="AH42" s="55" t="str">
        <f t="shared" ref="AH42" si="333">IF(R42=0,"0",G42/R42)</f>
        <v>0</v>
      </c>
      <c r="AI42" s="56" t="str">
        <f t="shared" ref="AI42" si="334">IF(AF42="0","0",O42/AF42)</f>
        <v>0</v>
      </c>
      <c r="AJ42" s="56" t="str">
        <f t="shared" ref="AJ42" si="335">IF(AG42="0","0",O42/AG42)</f>
        <v>0</v>
      </c>
      <c r="AK42" s="56" t="str">
        <f t="shared" ref="AK42" si="336">IF(AH42="0","0",N42/AH42)</f>
        <v>0</v>
      </c>
      <c r="AL42" s="57">
        <f t="shared" ref="AL42" si="337">T42+Z42+AF42</f>
        <v>595.14</v>
      </c>
      <c r="AM42" s="57">
        <f t="shared" ref="AM42" si="338">U42+AA42+AG42</f>
        <v>297.57</v>
      </c>
      <c r="AN42" s="57">
        <f t="shared" ref="AN42" si="339">V42+AB42+AH42</f>
        <v>223.17750000000001</v>
      </c>
      <c r="AO42" s="6" t="str">
        <f t="shared" ref="AO42" si="340">IF(I42="Strap","Tensile",IF(P42&gt;0,"Tensile","Shear"))</f>
        <v>Shear</v>
      </c>
      <c r="AP42" s="6" t="str">
        <f t="shared" ref="AP42" si="341">IF(I42="Strap","Tensile",IF(Q42&gt;0,"Tensile","Shear"))</f>
        <v>Tensile</v>
      </c>
      <c r="AQ42" s="6" t="str">
        <f t="shared" ref="AQ42" si="342">IF(I42="Strap","Tensile",IF(R42&gt;0,"Tensile","Shear"))</f>
        <v>Shear</v>
      </c>
      <c r="AR42" s="58">
        <f t="shared" ref="AR42" si="343">W42+AC42+AI42</f>
        <v>11.67424607149843</v>
      </c>
      <c r="AS42" s="58">
        <f t="shared" ref="AS42" si="344">X42+AD42+AJ42</f>
        <v>46.696984285993722</v>
      </c>
      <c r="AT42" s="58">
        <f t="shared" ref="AT42" si="345">Y42+AE42+AK42</f>
        <v>31.131322857329149</v>
      </c>
    </row>
    <row r="43" spans="2:46" x14ac:dyDescent="0.25">
      <c r="B43" s="36">
        <v>34</v>
      </c>
      <c r="C43" s="126" t="s">
        <v>133</v>
      </c>
      <c r="D43" s="128">
        <v>16.2</v>
      </c>
      <c r="E43" s="78">
        <f t="shared" ref="E43:E45" si="346">D43*$D$3*$D$4</f>
        <v>635.68799999999999</v>
      </c>
      <c r="F43" s="78">
        <f t="shared" ref="F43:F45" si="347">D43*$D$3*$D$5</f>
        <v>317.84399999999999</v>
      </c>
      <c r="G43" s="78">
        <f t="shared" ref="G43:G45" si="348">D43*$D$3*$D$6</f>
        <v>238.38299999999998</v>
      </c>
      <c r="H43" s="42"/>
      <c r="I43" s="36">
        <v>8.8000000000000007</v>
      </c>
      <c r="J43" s="37" t="s">
        <v>38</v>
      </c>
      <c r="K43" s="49">
        <f>VLOOKUP(J43,'Fastener Data'!$E$3:$G$29,2,FALSE)</f>
        <v>32.841000000000001</v>
      </c>
      <c r="L43" s="26">
        <f>VLOOKUP(I43,'Fastener Data'!$B$3:$C$18,2,FALSE)</f>
        <v>640</v>
      </c>
      <c r="M43" s="26">
        <f>0.5*L43</f>
        <v>320</v>
      </c>
      <c r="N43" s="50">
        <f t="shared" ref="N43:N45" si="349">K43*L43</f>
        <v>21018.240000000002</v>
      </c>
      <c r="O43" s="50">
        <f t="shared" ref="O43:O45" si="350">K43*M43</f>
        <v>10509.12</v>
      </c>
      <c r="P43" s="38">
        <v>4</v>
      </c>
      <c r="Q43" s="38">
        <v>0</v>
      </c>
      <c r="R43" s="38">
        <v>0</v>
      </c>
      <c r="S43" s="100">
        <f t="shared" ref="S43:S45" si="351">SUM(P43:R43)</f>
        <v>4</v>
      </c>
      <c r="T43" s="51">
        <f t="shared" ref="T43:T45" si="352">IF(P43=0,"0",E43/P43)</f>
        <v>158.922</v>
      </c>
      <c r="U43" s="51">
        <f t="shared" ref="U43:U45" si="353">IF(P43=0,"0",F43/P43)</f>
        <v>79.460999999999999</v>
      </c>
      <c r="V43" s="51">
        <f t="shared" ref="V43:V45" si="354">IF(P43=0,"0",G43/P43)</f>
        <v>59.595749999999995</v>
      </c>
      <c r="W43" s="52">
        <f t="shared" ref="W43:W45" si="355">IF(T43="0","0",N43/T43)</f>
        <v>132.2550685241817</v>
      </c>
      <c r="X43" s="52">
        <f t="shared" ref="X43:X45" si="356">IF(U43="0","0",O43/U43)</f>
        <v>132.2550685241817</v>
      </c>
      <c r="Y43" s="52">
        <f t="shared" ref="Y43:Y45" si="357">IF(V43="0","0",O43/V43)</f>
        <v>176.3400913655756</v>
      </c>
      <c r="Z43" s="53" t="str">
        <f t="shared" ref="Z43:Z45" si="358">IF(Q43=0,"0",E43/Q43)</f>
        <v>0</v>
      </c>
      <c r="AA43" s="53" t="str">
        <f t="shared" ref="AA43:AA45" si="359">IF(Q43=0,"0",F43/Q43)</f>
        <v>0</v>
      </c>
      <c r="AB43" s="53" t="str">
        <f t="shared" ref="AB43:AB45" si="360">IF(Q43=0,"0",G43/Q43)</f>
        <v>0</v>
      </c>
      <c r="AC43" s="54" t="str">
        <f t="shared" ref="AC43:AC45" si="361">IF(Z43="0","0",O43/Z43)</f>
        <v>0</v>
      </c>
      <c r="AD43" s="54" t="str">
        <f t="shared" ref="AD43:AD45" si="362">IF(AA43="0","0",N43/AA43)</f>
        <v>0</v>
      </c>
      <c r="AE43" s="54" t="str">
        <f t="shared" ref="AE43:AE45" si="363">IF(AB43="0","0",O43/AB43)</f>
        <v>0</v>
      </c>
      <c r="AF43" s="55" t="str">
        <f t="shared" ref="AF43:AF45" si="364">IF(R43=0,"0",E43/R43)</f>
        <v>0</v>
      </c>
      <c r="AG43" s="55" t="str">
        <f t="shared" ref="AG43:AG45" si="365">IF(R43=0,"0",F43/R43)</f>
        <v>0</v>
      </c>
      <c r="AH43" s="55" t="str">
        <f t="shared" ref="AH43:AH45" si="366">IF(R43=0,"0",G43/R43)</f>
        <v>0</v>
      </c>
      <c r="AI43" s="56" t="str">
        <f t="shared" ref="AI43:AI45" si="367">IF(AF43="0","0",O43/AF43)</f>
        <v>0</v>
      </c>
      <c r="AJ43" s="56" t="str">
        <f t="shared" ref="AJ43:AJ45" si="368">IF(AG43="0","0",O43/AG43)</f>
        <v>0</v>
      </c>
      <c r="AK43" s="56" t="str">
        <f t="shared" ref="AK43:AK45" si="369">IF(AH43="0","0",N43/AH43)</f>
        <v>0</v>
      </c>
      <c r="AL43" s="57">
        <f t="shared" ref="AL43:AL45" si="370">T43+Z43+AF43</f>
        <v>158.922</v>
      </c>
      <c r="AM43" s="57">
        <f t="shared" ref="AM43:AM45" si="371">U43+AA43+AG43</f>
        <v>79.460999999999999</v>
      </c>
      <c r="AN43" s="57">
        <f t="shared" ref="AN43:AN45" si="372">V43+AB43+AH43</f>
        <v>59.595749999999995</v>
      </c>
      <c r="AO43" s="6" t="str">
        <f t="shared" ref="AO43:AO45" si="373">IF(I43="Strap","Tensile",IF(P43&gt;0,"Tensile","Shear"))</f>
        <v>Tensile</v>
      </c>
      <c r="AP43" s="6" t="str">
        <f t="shared" ref="AP43:AP45" si="374">IF(I43="Strap","Tensile",IF(Q43&gt;0,"Tensile","Shear"))</f>
        <v>Shear</v>
      </c>
      <c r="AQ43" s="6" t="str">
        <f t="shared" ref="AQ43:AQ45" si="375">IF(I43="Strap","Tensile",IF(R43&gt;0,"Tensile","Shear"))</f>
        <v>Shear</v>
      </c>
      <c r="AR43" s="58">
        <f t="shared" ref="AR43:AR45" si="376">W43+AC43+AI43</f>
        <v>132.2550685241817</v>
      </c>
      <c r="AS43" s="58">
        <f t="shared" ref="AS43:AS45" si="377">X43+AD43+AJ43</f>
        <v>132.2550685241817</v>
      </c>
      <c r="AT43" s="58">
        <f t="shared" ref="AT43:AT45" si="378">Y43+AE43+AK43</f>
        <v>176.3400913655756</v>
      </c>
    </row>
    <row r="44" spans="2:46" ht="17.25" customHeight="1" x14ac:dyDescent="0.25">
      <c r="B44" s="36">
        <v>35</v>
      </c>
      <c r="C44" s="126" t="s">
        <v>134</v>
      </c>
      <c r="D44" s="129">
        <v>19.2</v>
      </c>
      <c r="E44" s="78">
        <f t="shared" si="346"/>
        <v>753.40800000000002</v>
      </c>
      <c r="F44" s="78">
        <f t="shared" si="347"/>
        <v>376.70400000000001</v>
      </c>
      <c r="G44" s="78">
        <f t="shared" si="348"/>
        <v>282.52800000000002</v>
      </c>
      <c r="H44" s="36"/>
      <c r="I44" s="36">
        <v>8.8000000000000007</v>
      </c>
      <c r="J44" s="37" t="s">
        <v>38</v>
      </c>
      <c r="K44" s="49">
        <f>VLOOKUP(J44,'Fastener Data'!$E$3:$G$29,2,FALSE)</f>
        <v>32.841000000000001</v>
      </c>
      <c r="L44" s="26">
        <f>VLOOKUP(I44,'Fastener Data'!$B$3:$C$18,2,FALSE)</f>
        <v>640</v>
      </c>
      <c r="M44" s="26">
        <f t="shared" ref="M44" si="379">L44*0.5</f>
        <v>320</v>
      </c>
      <c r="N44" s="50">
        <f t="shared" si="349"/>
        <v>21018.240000000002</v>
      </c>
      <c r="O44" s="50">
        <f t="shared" si="350"/>
        <v>10509.12</v>
      </c>
      <c r="P44" s="38">
        <v>4</v>
      </c>
      <c r="Q44" s="38">
        <v>0</v>
      </c>
      <c r="R44" s="38">
        <v>0</v>
      </c>
      <c r="S44" s="100">
        <f t="shared" si="351"/>
        <v>4</v>
      </c>
      <c r="T44" s="51">
        <f t="shared" si="352"/>
        <v>188.352</v>
      </c>
      <c r="U44" s="51">
        <f t="shared" si="353"/>
        <v>94.176000000000002</v>
      </c>
      <c r="V44" s="51">
        <f t="shared" si="354"/>
        <v>70.632000000000005</v>
      </c>
      <c r="W44" s="52">
        <f t="shared" si="355"/>
        <v>111.5902140672783</v>
      </c>
      <c r="X44" s="52">
        <f t="shared" si="356"/>
        <v>111.5902140672783</v>
      </c>
      <c r="Y44" s="52">
        <f t="shared" si="357"/>
        <v>148.78695208970439</v>
      </c>
      <c r="Z44" s="53" t="str">
        <f t="shared" si="358"/>
        <v>0</v>
      </c>
      <c r="AA44" s="53" t="str">
        <f t="shared" si="359"/>
        <v>0</v>
      </c>
      <c r="AB44" s="53" t="str">
        <f t="shared" si="360"/>
        <v>0</v>
      </c>
      <c r="AC44" s="54" t="str">
        <f t="shared" si="361"/>
        <v>0</v>
      </c>
      <c r="AD44" s="54" t="str">
        <f t="shared" si="362"/>
        <v>0</v>
      </c>
      <c r="AE44" s="54" t="str">
        <f t="shared" si="363"/>
        <v>0</v>
      </c>
      <c r="AF44" s="55" t="str">
        <f t="shared" si="364"/>
        <v>0</v>
      </c>
      <c r="AG44" s="55" t="str">
        <f t="shared" si="365"/>
        <v>0</v>
      </c>
      <c r="AH44" s="55" t="str">
        <f t="shared" si="366"/>
        <v>0</v>
      </c>
      <c r="AI44" s="56" t="str">
        <f t="shared" si="367"/>
        <v>0</v>
      </c>
      <c r="AJ44" s="56" t="str">
        <f t="shared" si="368"/>
        <v>0</v>
      </c>
      <c r="AK44" s="56" t="str">
        <f t="shared" si="369"/>
        <v>0</v>
      </c>
      <c r="AL44" s="57">
        <f t="shared" si="370"/>
        <v>188.352</v>
      </c>
      <c r="AM44" s="57">
        <f t="shared" si="371"/>
        <v>94.176000000000002</v>
      </c>
      <c r="AN44" s="57">
        <f t="shared" si="372"/>
        <v>70.632000000000005</v>
      </c>
      <c r="AO44" s="6" t="str">
        <f t="shared" si="373"/>
        <v>Tensile</v>
      </c>
      <c r="AP44" s="6" t="str">
        <f t="shared" si="374"/>
        <v>Shear</v>
      </c>
      <c r="AQ44" s="6" t="str">
        <f t="shared" si="375"/>
        <v>Shear</v>
      </c>
      <c r="AR44" s="58">
        <f t="shared" si="376"/>
        <v>111.5902140672783</v>
      </c>
      <c r="AS44" s="58">
        <f t="shared" si="377"/>
        <v>111.5902140672783</v>
      </c>
      <c r="AT44" s="58">
        <f t="shared" si="378"/>
        <v>148.78695208970439</v>
      </c>
    </row>
    <row r="45" spans="2:46" x14ac:dyDescent="0.25">
      <c r="B45" s="36">
        <v>36</v>
      </c>
      <c r="C45" s="126" t="s">
        <v>135</v>
      </c>
      <c r="D45" s="127">
        <v>7</v>
      </c>
      <c r="E45" s="78">
        <f t="shared" si="346"/>
        <v>274.68</v>
      </c>
      <c r="F45" s="78">
        <f t="shared" si="347"/>
        <v>137.34</v>
      </c>
      <c r="G45" s="78">
        <f t="shared" si="348"/>
        <v>103.005</v>
      </c>
      <c r="H45" s="42"/>
      <c r="I45" s="36">
        <v>8.8000000000000007</v>
      </c>
      <c r="J45" s="37" t="s">
        <v>38</v>
      </c>
      <c r="K45" s="49">
        <f>VLOOKUP(J45,'Fastener Data'!$E$3:$G$29,2,FALSE)</f>
        <v>32.841000000000001</v>
      </c>
      <c r="L45" s="26">
        <f>VLOOKUP(I45,'Fastener Data'!$B$3:$C$18,2,FALSE)</f>
        <v>640</v>
      </c>
      <c r="M45" s="26">
        <f>0.5*L45</f>
        <v>320</v>
      </c>
      <c r="N45" s="50">
        <f t="shared" si="349"/>
        <v>21018.240000000002</v>
      </c>
      <c r="O45" s="50">
        <f t="shared" si="350"/>
        <v>10509.12</v>
      </c>
      <c r="P45" s="38">
        <v>4</v>
      </c>
      <c r="Q45" s="38">
        <v>0</v>
      </c>
      <c r="R45" s="38">
        <v>0</v>
      </c>
      <c r="S45" s="100">
        <f t="shared" si="351"/>
        <v>4</v>
      </c>
      <c r="T45" s="51">
        <f t="shared" si="352"/>
        <v>68.67</v>
      </c>
      <c r="U45" s="51">
        <f t="shared" si="353"/>
        <v>34.335000000000001</v>
      </c>
      <c r="V45" s="51">
        <f t="shared" si="354"/>
        <v>25.751249999999999</v>
      </c>
      <c r="W45" s="52">
        <f t="shared" si="355"/>
        <v>306.0760157273919</v>
      </c>
      <c r="X45" s="52">
        <f t="shared" si="356"/>
        <v>306.0760157273919</v>
      </c>
      <c r="Y45" s="52">
        <f t="shared" si="357"/>
        <v>408.10135430318923</v>
      </c>
      <c r="Z45" s="53" t="str">
        <f t="shared" si="358"/>
        <v>0</v>
      </c>
      <c r="AA45" s="53" t="str">
        <f t="shared" si="359"/>
        <v>0</v>
      </c>
      <c r="AB45" s="53" t="str">
        <f t="shared" si="360"/>
        <v>0</v>
      </c>
      <c r="AC45" s="54" t="str">
        <f t="shared" si="361"/>
        <v>0</v>
      </c>
      <c r="AD45" s="54" t="str">
        <f t="shared" si="362"/>
        <v>0</v>
      </c>
      <c r="AE45" s="54" t="str">
        <f t="shared" si="363"/>
        <v>0</v>
      </c>
      <c r="AF45" s="55" t="str">
        <f t="shared" si="364"/>
        <v>0</v>
      </c>
      <c r="AG45" s="55" t="str">
        <f t="shared" si="365"/>
        <v>0</v>
      </c>
      <c r="AH45" s="55" t="str">
        <f t="shared" si="366"/>
        <v>0</v>
      </c>
      <c r="AI45" s="56" t="str">
        <f t="shared" si="367"/>
        <v>0</v>
      </c>
      <c r="AJ45" s="56" t="str">
        <f t="shared" si="368"/>
        <v>0</v>
      </c>
      <c r="AK45" s="56" t="str">
        <f t="shared" si="369"/>
        <v>0</v>
      </c>
      <c r="AL45" s="57">
        <f t="shared" si="370"/>
        <v>68.67</v>
      </c>
      <c r="AM45" s="57">
        <f t="shared" si="371"/>
        <v>34.335000000000001</v>
      </c>
      <c r="AN45" s="57">
        <f t="shared" si="372"/>
        <v>25.751249999999999</v>
      </c>
      <c r="AO45" s="6" t="str">
        <f t="shared" si="373"/>
        <v>Tensile</v>
      </c>
      <c r="AP45" s="6" t="str">
        <f t="shared" si="374"/>
        <v>Shear</v>
      </c>
      <c r="AQ45" s="6" t="str">
        <f t="shared" si="375"/>
        <v>Shear</v>
      </c>
      <c r="AR45" s="58">
        <f t="shared" si="376"/>
        <v>306.0760157273919</v>
      </c>
      <c r="AS45" s="58">
        <f t="shared" si="377"/>
        <v>306.0760157273919</v>
      </c>
      <c r="AT45" s="58">
        <f t="shared" si="378"/>
        <v>408.10135430318923</v>
      </c>
    </row>
    <row r="46" spans="2:46" x14ac:dyDescent="0.25">
      <c r="B46" s="59">
        <v>37</v>
      </c>
      <c r="C46" s="126" t="s">
        <v>136</v>
      </c>
      <c r="D46" s="127">
        <v>60</v>
      </c>
      <c r="E46" s="78">
        <f t="shared" ref="E46" si="380">D46*$D$3*$D$4</f>
        <v>2354.4</v>
      </c>
      <c r="F46" s="78">
        <f t="shared" ref="F46" si="381">D46*$D$3*$D$5</f>
        <v>1177.2</v>
      </c>
      <c r="G46" s="78">
        <f t="shared" ref="G46" si="382">D46*$D$3*$D$6</f>
        <v>882.90000000000009</v>
      </c>
      <c r="H46" s="42"/>
      <c r="I46" s="36">
        <v>8.8000000000000007</v>
      </c>
      <c r="J46" s="37" t="s">
        <v>38</v>
      </c>
      <c r="K46" s="49">
        <f>VLOOKUP(J46,'Fastener Data'!$E$3:$G$29,2,FALSE)</f>
        <v>32.841000000000001</v>
      </c>
      <c r="L46" s="26">
        <f>VLOOKUP(I46,'Fastener Data'!$B$3:$C$18,2,FALSE)</f>
        <v>640</v>
      </c>
      <c r="M46" s="26">
        <f>0.5*L46</f>
        <v>320</v>
      </c>
      <c r="N46" s="50">
        <f t="shared" ref="N46" si="383">K46*L46</f>
        <v>21018.240000000002</v>
      </c>
      <c r="O46" s="50">
        <f t="shared" ref="O46" si="384">K46*M46</f>
        <v>10509.12</v>
      </c>
      <c r="P46" s="38">
        <v>0</v>
      </c>
      <c r="Q46" s="38">
        <v>4</v>
      </c>
      <c r="R46" s="38">
        <v>0</v>
      </c>
      <c r="S46" s="100">
        <f t="shared" ref="S46" si="385">SUM(P46:R46)</f>
        <v>4</v>
      </c>
      <c r="T46" s="51" t="str">
        <f t="shared" ref="T46" si="386">IF(P46=0,"0",E46/P46)</f>
        <v>0</v>
      </c>
      <c r="U46" s="51" t="str">
        <f t="shared" ref="U46" si="387">IF(P46=0,"0",F46/P46)</f>
        <v>0</v>
      </c>
      <c r="V46" s="51" t="str">
        <f t="shared" ref="V46" si="388">IF(P46=0,"0",G46/P46)</f>
        <v>0</v>
      </c>
      <c r="W46" s="52" t="str">
        <f t="shared" ref="W46" si="389">IF(T46="0","0",N46/T46)</f>
        <v>0</v>
      </c>
      <c r="X46" s="52" t="str">
        <f t="shared" ref="X46" si="390">IF(U46="0","0",O46/U46)</f>
        <v>0</v>
      </c>
      <c r="Y46" s="52" t="str">
        <f t="shared" ref="Y46" si="391">IF(V46="0","0",O46/V46)</f>
        <v>0</v>
      </c>
      <c r="Z46" s="53">
        <f t="shared" ref="Z46" si="392">IF(Q46=0,"0",E46/Q46)</f>
        <v>588.6</v>
      </c>
      <c r="AA46" s="53">
        <f t="shared" ref="AA46" si="393">IF(Q46=0,"0",F46/Q46)</f>
        <v>294.3</v>
      </c>
      <c r="AB46" s="53">
        <f t="shared" ref="AB46" si="394">IF(Q46=0,"0",G46/Q46)</f>
        <v>220.72500000000002</v>
      </c>
      <c r="AC46" s="54">
        <f t="shared" ref="AC46" si="395">IF(Z46="0","0",O46/Z46)</f>
        <v>17.854434250764527</v>
      </c>
      <c r="AD46" s="54">
        <f t="shared" ref="AD46" si="396">IF(AA46="0","0",N46/AA46)</f>
        <v>71.417737003058107</v>
      </c>
      <c r="AE46" s="54">
        <f t="shared" ref="AE46" si="397">IF(AB46="0","0",O46/AB46)</f>
        <v>47.611824668705403</v>
      </c>
      <c r="AF46" s="55" t="str">
        <f t="shared" ref="AF46" si="398">IF(R46=0,"0",E46/R46)</f>
        <v>0</v>
      </c>
      <c r="AG46" s="55" t="str">
        <f t="shared" ref="AG46" si="399">IF(R46=0,"0",F46/R46)</f>
        <v>0</v>
      </c>
      <c r="AH46" s="55" t="str">
        <f t="shared" ref="AH46" si="400">IF(R46=0,"0",G46/R46)</f>
        <v>0</v>
      </c>
      <c r="AI46" s="56" t="str">
        <f t="shared" ref="AI46" si="401">IF(AF46="0","0",O46/AF46)</f>
        <v>0</v>
      </c>
      <c r="AJ46" s="56" t="str">
        <f t="shared" ref="AJ46" si="402">IF(AG46="0","0",O46/AG46)</f>
        <v>0</v>
      </c>
      <c r="AK46" s="56" t="str">
        <f t="shared" ref="AK46" si="403">IF(AH46="0","0",N46/AH46)</f>
        <v>0</v>
      </c>
      <c r="AL46" s="57">
        <f t="shared" ref="AL46" si="404">T46+Z46+AF46</f>
        <v>588.6</v>
      </c>
      <c r="AM46" s="57">
        <f t="shared" ref="AM46" si="405">U46+AA46+AG46</f>
        <v>294.3</v>
      </c>
      <c r="AN46" s="57">
        <f t="shared" ref="AN46" si="406">V46+AB46+AH46</f>
        <v>220.72500000000002</v>
      </c>
      <c r="AO46" s="6" t="str">
        <f t="shared" ref="AO46" si="407">IF(I46="Strap","Tensile",IF(P46&gt;0,"Tensile","Shear"))</f>
        <v>Shear</v>
      </c>
      <c r="AP46" s="6" t="str">
        <f t="shared" ref="AP46" si="408">IF(I46="Strap","Tensile",IF(Q46&gt;0,"Tensile","Shear"))</f>
        <v>Tensile</v>
      </c>
      <c r="AQ46" s="6" t="str">
        <f t="shared" ref="AQ46" si="409">IF(I46="Strap","Tensile",IF(R46&gt;0,"Tensile","Shear"))</f>
        <v>Shear</v>
      </c>
      <c r="AR46" s="58">
        <f t="shared" ref="AR46" si="410">W46+AC46+AI46</f>
        <v>17.854434250764527</v>
      </c>
      <c r="AS46" s="58">
        <f t="shared" ref="AS46" si="411">X46+AD46+AJ46</f>
        <v>71.417737003058107</v>
      </c>
      <c r="AT46" s="58">
        <f t="shared" ref="AT46" si="412">Y46+AE46+AK46</f>
        <v>47.611824668705403</v>
      </c>
    </row>
    <row r="47" spans="2:46" x14ac:dyDescent="0.25">
      <c r="B47" s="36">
        <v>38</v>
      </c>
      <c r="C47" s="126" t="s">
        <v>137</v>
      </c>
      <c r="D47" s="127">
        <v>2</v>
      </c>
      <c r="E47" s="78">
        <f t="shared" ref="E47" si="413">D47*$D$3*$D$4</f>
        <v>78.48</v>
      </c>
      <c r="F47" s="78">
        <f t="shared" ref="F47" si="414">D47*$D$3*$D$5</f>
        <v>39.24</v>
      </c>
      <c r="G47" s="78">
        <f t="shared" ref="G47" si="415">D47*$D$3*$D$6</f>
        <v>29.43</v>
      </c>
      <c r="H47" s="42"/>
      <c r="I47" s="36">
        <v>8.8000000000000007</v>
      </c>
      <c r="J47" s="37" t="s">
        <v>37</v>
      </c>
      <c r="K47" s="49">
        <f>VLOOKUP(J47,'Fastener Data'!$E$3:$G$29,2,FALSE)</f>
        <v>17.893999999999998</v>
      </c>
      <c r="L47" s="26">
        <f>VLOOKUP(I47,'Fastener Data'!$B$3:$C$18,2,FALSE)</f>
        <v>640</v>
      </c>
      <c r="M47" s="26">
        <f>0.5*L47</f>
        <v>320</v>
      </c>
      <c r="N47" s="50">
        <f t="shared" ref="N47" si="416">K47*L47</f>
        <v>11452.16</v>
      </c>
      <c r="O47" s="50">
        <f t="shared" ref="O47" si="417">K47*M47</f>
        <v>5726.08</v>
      </c>
      <c r="P47" s="38">
        <v>2</v>
      </c>
      <c r="Q47" s="38">
        <v>0</v>
      </c>
      <c r="R47" s="38">
        <v>0</v>
      </c>
      <c r="S47" s="100">
        <f t="shared" ref="S47" si="418">SUM(P47:R47)</f>
        <v>2</v>
      </c>
      <c r="T47" s="51">
        <f t="shared" ref="T47" si="419">IF(P47=0,"0",E47/P47)</f>
        <v>39.24</v>
      </c>
      <c r="U47" s="51">
        <f t="shared" ref="U47" si="420">IF(P47=0,"0",F47/P47)</f>
        <v>19.62</v>
      </c>
      <c r="V47" s="51">
        <f t="shared" ref="V47" si="421">IF(P47=0,"0",G47/P47)</f>
        <v>14.715</v>
      </c>
      <c r="W47" s="52">
        <f t="shared" ref="W47" si="422">IF(T47="0","0",N47/T47)</f>
        <v>291.84913353720691</v>
      </c>
      <c r="X47" s="52">
        <f t="shared" ref="X47" si="423">IF(U47="0","0",O47/U47)</f>
        <v>291.84913353720691</v>
      </c>
      <c r="Y47" s="52">
        <f t="shared" ref="Y47" si="424">IF(V47="0","0",O47/V47)</f>
        <v>389.13217804960925</v>
      </c>
      <c r="Z47" s="53" t="str">
        <f t="shared" ref="Z47" si="425">IF(Q47=0,"0",E47/Q47)</f>
        <v>0</v>
      </c>
      <c r="AA47" s="53" t="str">
        <f t="shared" ref="AA47" si="426">IF(Q47=0,"0",F47/Q47)</f>
        <v>0</v>
      </c>
      <c r="AB47" s="53" t="str">
        <f t="shared" ref="AB47" si="427">IF(Q47=0,"0",G47/Q47)</f>
        <v>0</v>
      </c>
      <c r="AC47" s="54" t="str">
        <f t="shared" ref="AC47" si="428">IF(Z47="0","0",O47/Z47)</f>
        <v>0</v>
      </c>
      <c r="AD47" s="54" t="str">
        <f t="shared" ref="AD47" si="429">IF(AA47="0","0",N47/AA47)</f>
        <v>0</v>
      </c>
      <c r="AE47" s="54" t="str">
        <f t="shared" ref="AE47" si="430">IF(AB47="0","0",O47/AB47)</f>
        <v>0</v>
      </c>
      <c r="AF47" s="55" t="str">
        <f t="shared" ref="AF47" si="431">IF(R47=0,"0",E47/R47)</f>
        <v>0</v>
      </c>
      <c r="AG47" s="55" t="str">
        <f t="shared" ref="AG47" si="432">IF(R47=0,"0",F47/R47)</f>
        <v>0</v>
      </c>
      <c r="AH47" s="55" t="str">
        <f t="shared" ref="AH47" si="433">IF(R47=0,"0",G47/R47)</f>
        <v>0</v>
      </c>
      <c r="AI47" s="56" t="str">
        <f t="shared" ref="AI47" si="434">IF(AF47="0","0",O47/AF47)</f>
        <v>0</v>
      </c>
      <c r="AJ47" s="56" t="str">
        <f t="shared" ref="AJ47" si="435">IF(AG47="0","0",O47/AG47)</f>
        <v>0</v>
      </c>
      <c r="AK47" s="56" t="str">
        <f t="shared" ref="AK47" si="436">IF(AH47="0","0",N47/AH47)</f>
        <v>0</v>
      </c>
      <c r="AL47" s="57">
        <f t="shared" ref="AL47" si="437">T47+Z47+AF47</f>
        <v>39.24</v>
      </c>
      <c r="AM47" s="57">
        <f t="shared" ref="AM47" si="438">U47+AA47+AG47</f>
        <v>19.62</v>
      </c>
      <c r="AN47" s="57">
        <f t="shared" ref="AN47" si="439">V47+AB47+AH47</f>
        <v>14.715</v>
      </c>
      <c r="AO47" s="6" t="str">
        <f t="shared" ref="AO47" si="440">IF(I47="Strap","Tensile",IF(P47&gt;0,"Tensile","Shear"))</f>
        <v>Tensile</v>
      </c>
      <c r="AP47" s="6" t="str">
        <f t="shared" ref="AP47" si="441">IF(I47="Strap","Tensile",IF(Q47&gt;0,"Tensile","Shear"))</f>
        <v>Shear</v>
      </c>
      <c r="AQ47" s="6" t="str">
        <f t="shared" ref="AQ47" si="442">IF(I47="Strap","Tensile",IF(R47&gt;0,"Tensile","Shear"))</f>
        <v>Shear</v>
      </c>
      <c r="AR47" s="58">
        <f t="shared" ref="AR47" si="443">W47+AC47+AI47</f>
        <v>291.84913353720691</v>
      </c>
      <c r="AS47" s="58">
        <f t="shared" ref="AS47" si="444">X47+AD47+AJ47</f>
        <v>291.84913353720691</v>
      </c>
      <c r="AT47" s="58">
        <f t="shared" ref="AT47" si="445">Y47+AE47+AK47</f>
        <v>389.13217804960925</v>
      </c>
    </row>
    <row r="48" spans="2:46" ht="30" x14ac:dyDescent="0.25">
      <c r="B48" s="36">
        <v>39</v>
      </c>
      <c r="C48" s="113" t="s">
        <v>163</v>
      </c>
      <c r="D48" s="41">
        <v>850</v>
      </c>
      <c r="E48" s="78">
        <f t="shared" si="42"/>
        <v>33354</v>
      </c>
      <c r="F48" s="78">
        <f t="shared" si="43"/>
        <v>16677</v>
      </c>
      <c r="G48" s="78">
        <f t="shared" si="44"/>
        <v>12507.75</v>
      </c>
      <c r="H48" s="36"/>
      <c r="I48" s="36">
        <v>8.8000000000000007</v>
      </c>
      <c r="J48" s="37" t="s">
        <v>37</v>
      </c>
      <c r="K48" s="49">
        <f>VLOOKUP(J48,'Fastener Data'!$E$3:$G$29,2,FALSE)</f>
        <v>17.893999999999998</v>
      </c>
      <c r="L48" s="26">
        <f>VLOOKUP(I48,'Fastener Data'!$B$3:$C$18,2,FALSE)</f>
        <v>640</v>
      </c>
      <c r="M48" s="26">
        <f t="shared" si="141"/>
        <v>320</v>
      </c>
      <c r="N48" s="50">
        <f t="shared" si="142"/>
        <v>11452.16</v>
      </c>
      <c r="O48" s="50">
        <f t="shared" si="143"/>
        <v>5726.08</v>
      </c>
      <c r="P48" s="38">
        <v>0</v>
      </c>
      <c r="Q48" s="38">
        <v>24</v>
      </c>
      <c r="R48" s="38">
        <v>0</v>
      </c>
      <c r="S48" s="100">
        <f t="shared" si="6"/>
        <v>24</v>
      </c>
      <c r="T48" s="51" t="str">
        <f t="shared" si="48"/>
        <v>0</v>
      </c>
      <c r="U48" s="51" t="str">
        <f t="shared" si="49"/>
        <v>0</v>
      </c>
      <c r="V48" s="51" t="str">
        <f t="shared" si="50"/>
        <v>0</v>
      </c>
      <c r="W48" s="52" t="str">
        <f t="shared" si="51"/>
        <v>0</v>
      </c>
      <c r="X48" s="52" t="str">
        <f t="shared" si="52"/>
        <v>0</v>
      </c>
      <c r="Y48" s="52" t="str">
        <f t="shared" si="53"/>
        <v>0</v>
      </c>
      <c r="Z48" s="53">
        <f t="shared" si="54"/>
        <v>1389.75</v>
      </c>
      <c r="AA48" s="53">
        <f t="shared" si="55"/>
        <v>694.875</v>
      </c>
      <c r="AB48" s="53">
        <f t="shared" si="56"/>
        <v>521.15625</v>
      </c>
      <c r="AC48" s="54">
        <f t="shared" si="57"/>
        <v>4.1202230617017452</v>
      </c>
      <c r="AD48" s="54">
        <f t="shared" si="58"/>
        <v>16.480892246806981</v>
      </c>
      <c r="AE48" s="54">
        <f t="shared" si="59"/>
        <v>10.987261497871319</v>
      </c>
      <c r="AF48" s="55" t="str">
        <f t="shared" si="60"/>
        <v>0</v>
      </c>
      <c r="AG48" s="55" t="str">
        <f t="shared" si="61"/>
        <v>0</v>
      </c>
      <c r="AH48" s="55" t="str">
        <f t="shared" si="62"/>
        <v>0</v>
      </c>
      <c r="AI48" s="56" t="str">
        <f t="shared" si="63"/>
        <v>0</v>
      </c>
      <c r="AJ48" s="56" t="str">
        <f t="shared" si="64"/>
        <v>0</v>
      </c>
      <c r="AK48" s="56" t="str">
        <f t="shared" si="65"/>
        <v>0</v>
      </c>
      <c r="AL48" s="57">
        <f t="shared" ref="AL48" si="446">T48+Z48+AF48</f>
        <v>1389.75</v>
      </c>
      <c r="AM48" s="57">
        <f t="shared" ref="AM48" si="447">U48+AA48+AG48</f>
        <v>694.875</v>
      </c>
      <c r="AN48" s="57">
        <f t="shared" ref="AN48" si="448">V48+AB48+AH48</f>
        <v>521.15625</v>
      </c>
      <c r="AO48" s="6" t="str">
        <f t="shared" si="69"/>
        <v>Shear</v>
      </c>
      <c r="AP48" s="6" t="str">
        <f t="shared" si="70"/>
        <v>Tensile</v>
      </c>
      <c r="AQ48" s="6" t="str">
        <f t="shared" si="71"/>
        <v>Shear</v>
      </c>
      <c r="AR48" s="58">
        <f t="shared" si="72"/>
        <v>4.1202230617017452</v>
      </c>
      <c r="AS48" s="58">
        <f t="shared" si="73"/>
        <v>16.480892246806981</v>
      </c>
      <c r="AT48" s="58">
        <f t="shared" si="74"/>
        <v>10.987261497871319</v>
      </c>
    </row>
    <row r="49" spans="2:46" x14ac:dyDescent="0.25">
      <c r="B49" s="36">
        <v>40</v>
      </c>
      <c r="C49" s="34" t="s">
        <v>146</v>
      </c>
      <c r="D49" s="41">
        <v>15</v>
      </c>
      <c r="E49" s="78">
        <f t="shared" si="42"/>
        <v>588.6</v>
      </c>
      <c r="F49" s="78">
        <f t="shared" si="43"/>
        <v>294.3</v>
      </c>
      <c r="G49" s="78">
        <f t="shared" si="44"/>
        <v>220.72500000000002</v>
      </c>
      <c r="H49" s="36"/>
      <c r="I49" s="36">
        <v>8.8000000000000007</v>
      </c>
      <c r="J49" s="37" t="s">
        <v>37</v>
      </c>
      <c r="K49" s="49">
        <f>VLOOKUP(J49,'Fastener Data'!$E$3:$G$29,2,FALSE)</f>
        <v>17.893999999999998</v>
      </c>
      <c r="L49" s="26">
        <f>VLOOKUP(I49,'Fastener Data'!$B$3:$C$18,2,FALSE)</f>
        <v>640</v>
      </c>
      <c r="M49" s="26">
        <f t="shared" si="141"/>
        <v>320</v>
      </c>
      <c r="N49" s="50">
        <f t="shared" si="142"/>
        <v>11452.16</v>
      </c>
      <c r="O49" s="50">
        <f t="shared" si="143"/>
        <v>5726.08</v>
      </c>
      <c r="P49" s="38">
        <v>0</v>
      </c>
      <c r="Q49" s="38">
        <v>0</v>
      </c>
      <c r="R49" s="38">
        <v>16</v>
      </c>
      <c r="S49" s="100">
        <f t="shared" si="6"/>
        <v>16</v>
      </c>
      <c r="T49" s="51" t="str">
        <f t="shared" si="48"/>
        <v>0</v>
      </c>
      <c r="U49" s="51" t="str">
        <f t="shared" si="49"/>
        <v>0</v>
      </c>
      <c r="V49" s="51" t="str">
        <f t="shared" si="50"/>
        <v>0</v>
      </c>
      <c r="W49" s="52" t="str">
        <f t="shared" si="51"/>
        <v>0</v>
      </c>
      <c r="X49" s="52" t="str">
        <f t="shared" si="52"/>
        <v>0</v>
      </c>
      <c r="Y49" s="52" t="str">
        <f t="shared" si="53"/>
        <v>0</v>
      </c>
      <c r="Z49" s="53" t="str">
        <f t="shared" si="54"/>
        <v>0</v>
      </c>
      <c r="AA49" s="53" t="str">
        <f t="shared" si="55"/>
        <v>0</v>
      </c>
      <c r="AB49" s="53" t="str">
        <f t="shared" si="56"/>
        <v>0</v>
      </c>
      <c r="AC49" s="54" t="str">
        <f t="shared" si="57"/>
        <v>0</v>
      </c>
      <c r="AD49" s="54" t="str">
        <f t="shared" si="58"/>
        <v>0</v>
      </c>
      <c r="AE49" s="54" t="str">
        <f t="shared" si="59"/>
        <v>0</v>
      </c>
      <c r="AF49" s="55">
        <f t="shared" si="60"/>
        <v>36.787500000000001</v>
      </c>
      <c r="AG49" s="55">
        <f t="shared" si="61"/>
        <v>18.393750000000001</v>
      </c>
      <c r="AH49" s="55">
        <f t="shared" si="62"/>
        <v>13.795312500000001</v>
      </c>
      <c r="AI49" s="56">
        <f t="shared" si="63"/>
        <v>155.65287121984369</v>
      </c>
      <c r="AJ49" s="56">
        <f t="shared" si="64"/>
        <v>311.30574243968738</v>
      </c>
      <c r="AK49" s="56">
        <f t="shared" si="65"/>
        <v>830.14864650583297</v>
      </c>
      <c r="AL49" s="57">
        <f t="shared" si="66"/>
        <v>36.787500000000001</v>
      </c>
      <c r="AM49" s="57">
        <f t="shared" si="67"/>
        <v>18.393750000000001</v>
      </c>
      <c r="AN49" s="57">
        <f t="shared" si="68"/>
        <v>13.795312500000001</v>
      </c>
      <c r="AO49" s="6" t="str">
        <f t="shared" si="69"/>
        <v>Shear</v>
      </c>
      <c r="AP49" s="6" t="str">
        <f t="shared" si="70"/>
        <v>Shear</v>
      </c>
      <c r="AQ49" s="6" t="str">
        <f t="shared" si="71"/>
        <v>Tensile</v>
      </c>
      <c r="AR49" s="58">
        <f t="shared" si="72"/>
        <v>155.65287121984369</v>
      </c>
      <c r="AS49" s="58">
        <f t="shared" si="73"/>
        <v>311.30574243968738</v>
      </c>
      <c r="AT49" s="58">
        <f t="shared" si="74"/>
        <v>830.14864650583297</v>
      </c>
    </row>
    <row r="50" spans="2:46" s="30" customFormat="1" x14ac:dyDescent="0.25">
      <c r="B50" s="36">
        <v>41</v>
      </c>
      <c r="C50" s="34" t="s">
        <v>117</v>
      </c>
      <c r="D50" s="41">
        <v>5</v>
      </c>
      <c r="E50" s="78">
        <f t="shared" si="42"/>
        <v>196.20000000000002</v>
      </c>
      <c r="F50" s="78">
        <f t="shared" si="43"/>
        <v>98.100000000000009</v>
      </c>
      <c r="G50" s="78">
        <f t="shared" si="44"/>
        <v>73.575000000000003</v>
      </c>
      <c r="H50" s="36"/>
      <c r="I50" s="36">
        <v>8.8000000000000007</v>
      </c>
      <c r="J50" s="37" t="s">
        <v>37</v>
      </c>
      <c r="K50" s="49">
        <f>VLOOKUP(J50,'Fastener Data'!$E$3:$G$29,2,FALSE)</f>
        <v>17.893999999999998</v>
      </c>
      <c r="L50" s="26">
        <f>VLOOKUP(I50,'Fastener Data'!$B$3:$C$18,2,FALSE)</f>
        <v>640</v>
      </c>
      <c r="M50" s="26">
        <f t="shared" si="141"/>
        <v>320</v>
      </c>
      <c r="N50" s="50">
        <f t="shared" si="142"/>
        <v>11452.16</v>
      </c>
      <c r="O50" s="50">
        <f t="shared" si="143"/>
        <v>5726.08</v>
      </c>
      <c r="P50" s="43">
        <v>0</v>
      </c>
      <c r="Q50" s="43">
        <v>0</v>
      </c>
      <c r="R50" s="43">
        <v>16</v>
      </c>
      <c r="S50" s="100">
        <f t="shared" si="6"/>
        <v>16</v>
      </c>
      <c r="T50" s="51" t="str">
        <f t="shared" si="48"/>
        <v>0</v>
      </c>
      <c r="U50" s="51" t="str">
        <f t="shared" si="49"/>
        <v>0</v>
      </c>
      <c r="V50" s="51" t="str">
        <f t="shared" si="50"/>
        <v>0</v>
      </c>
      <c r="W50" s="52" t="str">
        <f t="shared" si="51"/>
        <v>0</v>
      </c>
      <c r="X50" s="52" t="str">
        <f t="shared" si="52"/>
        <v>0</v>
      </c>
      <c r="Y50" s="52" t="str">
        <f t="shared" si="53"/>
        <v>0</v>
      </c>
      <c r="Z50" s="53" t="str">
        <f t="shared" si="54"/>
        <v>0</v>
      </c>
      <c r="AA50" s="53" t="str">
        <f t="shared" si="55"/>
        <v>0</v>
      </c>
      <c r="AB50" s="53" t="str">
        <f t="shared" si="56"/>
        <v>0</v>
      </c>
      <c r="AC50" s="54" t="str">
        <f t="shared" si="57"/>
        <v>0</v>
      </c>
      <c r="AD50" s="54" t="str">
        <f t="shared" si="58"/>
        <v>0</v>
      </c>
      <c r="AE50" s="54" t="str">
        <f t="shared" si="59"/>
        <v>0</v>
      </c>
      <c r="AF50" s="55">
        <f t="shared" si="60"/>
        <v>12.262500000000001</v>
      </c>
      <c r="AG50" s="55">
        <f t="shared" si="61"/>
        <v>6.1312500000000005</v>
      </c>
      <c r="AH50" s="55">
        <f t="shared" si="62"/>
        <v>4.5984375000000002</v>
      </c>
      <c r="AI50" s="56">
        <f t="shared" si="63"/>
        <v>466.95861365953107</v>
      </c>
      <c r="AJ50" s="56">
        <f t="shared" si="64"/>
        <v>933.91722731906214</v>
      </c>
      <c r="AK50" s="56">
        <f t="shared" si="65"/>
        <v>2490.445939517499</v>
      </c>
      <c r="AL50" s="57">
        <f t="shared" si="66"/>
        <v>12.262500000000001</v>
      </c>
      <c r="AM50" s="57">
        <f t="shared" si="67"/>
        <v>6.1312500000000005</v>
      </c>
      <c r="AN50" s="57">
        <f t="shared" si="68"/>
        <v>4.5984375000000002</v>
      </c>
      <c r="AO50" s="6" t="str">
        <f t="shared" si="69"/>
        <v>Shear</v>
      </c>
      <c r="AP50" s="6" t="str">
        <f t="shared" si="70"/>
        <v>Shear</v>
      </c>
      <c r="AQ50" s="6" t="str">
        <f t="shared" si="71"/>
        <v>Tensile</v>
      </c>
      <c r="AR50" s="58">
        <f t="shared" si="72"/>
        <v>466.95861365953107</v>
      </c>
      <c r="AS50" s="58">
        <f t="shared" si="73"/>
        <v>933.91722731906214</v>
      </c>
      <c r="AT50" s="58">
        <f t="shared" si="74"/>
        <v>2490.445939517499</v>
      </c>
    </row>
    <row r="51" spans="2:46" s="30" customFormat="1" x14ac:dyDescent="0.25">
      <c r="B51" s="36">
        <v>42</v>
      </c>
      <c r="C51" s="34" t="s">
        <v>145</v>
      </c>
      <c r="D51" s="41">
        <v>5</v>
      </c>
      <c r="E51" s="78">
        <f t="shared" ref="E51" si="449">D51*$D$3*$D$4</f>
        <v>196.20000000000002</v>
      </c>
      <c r="F51" s="78">
        <f t="shared" ref="F51" si="450">D51*$D$3*$D$5</f>
        <v>98.100000000000009</v>
      </c>
      <c r="G51" s="78">
        <f t="shared" ref="G51" si="451">D51*$D$3*$D$6</f>
        <v>73.575000000000003</v>
      </c>
      <c r="H51" s="36"/>
      <c r="I51" s="36">
        <v>8.8000000000000007</v>
      </c>
      <c r="J51" s="37" t="s">
        <v>37</v>
      </c>
      <c r="K51" s="49">
        <f>VLOOKUP(J51,'Fastener Data'!$E$3:$G$29,2,FALSE)</f>
        <v>17.893999999999998</v>
      </c>
      <c r="L51" s="26">
        <f>VLOOKUP(I51,'Fastener Data'!$B$3:$C$18,2,FALSE)</f>
        <v>640</v>
      </c>
      <c r="M51" s="26">
        <f t="shared" ref="M51" si="452">L51*0.5</f>
        <v>320</v>
      </c>
      <c r="N51" s="50">
        <f t="shared" ref="N51" si="453">K51*L51</f>
        <v>11452.16</v>
      </c>
      <c r="O51" s="50">
        <f t="shared" ref="O51" si="454">K51*M51</f>
        <v>5726.08</v>
      </c>
      <c r="P51" s="43">
        <v>8</v>
      </c>
      <c r="Q51" s="43">
        <v>0</v>
      </c>
      <c r="R51" s="43">
        <v>0</v>
      </c>
      <c r="S51" s="100">
        <f t="shared" ref="S51" si="455">SUM(P51:R51)</f>
        <v>8</v>
      </c>
      <c r="T51" s="51">
        <f t="shared" ref="T51" si="456">IF(P51=0,"0",E51/P51)</f>
        <v>24.525000000000002</v>
      </c>
      <c r="U51" s="51">
        <f t="shared" ref="U51" si="457">IF(P51=0,"0",F51/P51)</f>
        <v>12.262500000000001</v>
      </c>
      <c r="V51" s="51">
        <f t="shared" ref="V51" si="458">IF(P51=0,"0",G51/P51)</f>
        <v>9.1968750000000004</v>
      </c>
      <c r="W51" s="52">
        <f t="shared" ref="W51" si="459">IF(T51="0","0",N51/T51)</f>
        <v>466.95861365953107</v>
      </c>
      <c r="X51" s="52">
        <f t="shared" ref="X51" si="460">IF(U51="0","0",O51/U51)</f>
        <v>466.95861365953107</v>
      </c>
      <c r="Y51" s="52">
        <f t="shared" ref="Y51" si="461">IF(V51="0","0",O51/V51)</f>
        <v>622.61148487937476</v>
      </c>
      <c r="Z51" s="53" t="str">
        <f t="shared" ref="Z51" si="462">IF(Q51=0,"0",E51/Q51)</f>
        <v>0</v>
      </c>
      <c r="AA51" s="53" t="str">
        <f t="shared" ref="AA51" si="463">IF(Q51=0,"0",F51/Q51)</f>
        <v>0</v>
      </c>
      <c r="AB51" s="53" t="str">
        <f t="shared" ref="AB51" si="464">IF(Q51=0,"0",G51/Q51)</f>
        <v>0</v>
      </c>
      <c r="AC51" s="54" t="str">
        <f t="shared" ref="AC51" si="465">IF(Z51="0","0",O51/Z51)</f>
        <v>0</v>
      </c>
      <c r="AD51" s="54" t="str">
        <f t="shared" ref="AD51" si="466">IF(AA51="0","0",N51/AA51)</f>
        <v>0</v>
      </c>
      <c r="AE51" s="54" t="str">
        <f t="shared" ref="AE51" si="467">IF(AB51="0","0",O51/AB51)</f>
        <v>0</v>
      </c>
      <c r="AF51" s="55" t="str">
        <f t="shared" ref="AF51" si="468">IF(R51=0,"0",E51/R51)</f>
        <v>0</v>
      </c>
      <c r="AG51" s="55" t="str">
        <f t="shared" ref="AG51" si="469">IF(R51=0,"0",F51/R51)</f>
        <v>0</v>
      </c>
      <c r="AH51" s="55" t="str">
        <f t="shared" ref="AH51" si="470">IF(R51=0,"0",G51/R51)</f>
        <v>0</v>
      </c>
      <c r="AI51" s="56" t="str">
        <f t="shared" ref="AI51" si="471">IF(AF51="0","0",O51/AF51)</f>
        <v>0</v>
      </c>
      <c r="AJ51" s="56" t="str">
        <f t="shared" ref="AJ51" si="472">IF(AG51="0","0",O51/AG51)</f>
        <v>0</v>
      </c>
      <c r="AK51" s="56" t="str">
        <f t="shared" ref="AK51" si="473">IF(AH51="0","0",N51/AH51)</f>
        <v>0</v>
      </c>
      <c r="AL51" s="57">
        <f t="shared" ref="AL51" si="474">T51+Z51+AF51</f>
        <v>24.525000000000002</v>
      </c>
      <c r="AM51" s="57">
        <f t="shared" ref="AM51" si="475">U51+AA51+AG51</f>
        <v>12.262500000000001</v>
      </c>
      <c r="AN51" s="57">
        <f t="shared" ref="AN51" si="476">V51+AB51+AH51</f>
        <v>9.1968750000000004</v>
      </c>
      <c r="AO51" s="6" t="str">
        <f t="shared" ref="AO51" si="477">IF(I51="Strap","Tensile",IF(P51&gt;0,"Tensile","Shear"))</f>
        <v>Tensile</v>
      </c>
      <c r="AP51" s="6" t="str">
        <f t="shared" ref="AP51" si="478">IF(I51="Strap","Tensile",IF(Q51&gt;0,"Tensile","Shear"))</f>
        <v>Shear</v>
      </c>
      <c r="AQ51" s="6" t="str">
        <f t="shared" ref="AQ51" si="479">IF(I51="Strap","Tensile",IF(R51&gt;0,"Tensile","Shear"))</f>
        <v>Shear</v>
      </c>
      <c r="AR51" s="58">
        <f t="shared" ref="AR51" si="480">W51+AC51+AI51</f>
        <v>466.95861365953107</v>
      </c>
      <c r="AS51" s="58">
        <f t="shared" ref="AS51" si="481">X51+AD51+AJ51</f>
        <v>466.95861365953107</v>
      </c>
      <c r="AT51" s="58">
        <f t="shared" ref="AT51" si="482">Y51+AE51+AK51</f>
        <v>622.61148487937476</v>
      </c>
    </row>
    <row r="52" spans="2:46" s="30" customFormat="1" x14ac:dyDescent="0.25">
      <c r="B52" s="36">
        <v>43</v>
      </c>
      <c r="C52" s="34" t="s">
        <v>169</v>
      </c>
      <c r="D52" s="41">
        <v>5</v>
      </c>
      <c r="E52" s="78">
        <f t="shared" ref="E52" si="483">D52*$D$3*$D$4</f>
        <v>196.20000000000002</v>
      </c>
      <c r="F52" s="78">
        <f t="shared" ref="F52" si="484">D52*$D$3*$D$5</f>
        <v>98.100000000000009</v>
      </c>
      <c r="G52" s="78">
        <f t="shared" ref="G52" si="485">D52*$D$3*$D$6</f>
        <v>73.575000000000003</v>
      </c>
      <c r="H52" s="36"/>
      <c r="I52" s="36">
        <v>8.8000000000000007</v>
      </c>
      <c r="J52" s="37" t="s">
        <v>37</v>
      </c>
      <c r="K52" s="49">
        <f>VLOOKUP(J52,'Fastener Data'!$E$3:$G$29,2,FALSE)</f>
        <v>17.893999999999998</v>
      </c>
      <c r="L52" s="26">
        <f>VLOOKUP(I52,'Fastener Data'!$B$3:$C$18,2,FALSE)</f>
        <v>640</v>
      </c>
      <c r="M52" s="26">
        <f t="shared" ref="M52" si="486">L52*0.5</f>
        <v>320</v>
      </c>
      <c r="N52" s="50">
        <f t="shared" ref="N52" si="487">K52*L52</f>
        <v>11452.16</v>
      </c>
      <c r="O52" s="50">
        <f t="shared" ref="O52" si="488">K52*M52</f>
        <v>5726.08</v>
      </c>
      <c r="P52" s="43">
        <v>10</v>
      </c>
      <c r="Q52" s="43">
        <v>0</v>
      </c>
      <c r="R52" s="43">
        <v>0</v>
      </c>
      <c r="S52" s="100">
        <f t="shared" ref="S52" si="489">SUM(P52:R52)</f>
        <v>10</v>
      </c>
      <c r="T52" s="51">
        <f t="shared" ref="T52" si="490">IF(P52=0,"0",E52/P52)</f>
        <v>19.62</v>
      </c>
      <c r="U52" s="51">
        <f t="shared" ref="U52" si="491">IF(P52=0,"0",F52/P52)</f>
        <v>9.81</v>
      </c>
      <c r="V52" s="51">
        <f t="shared" ref="V52" si="492">IF(P52=0,"0",G52/P52)</f>
        <v>7.3574999999999999</v>
      </c>
      <c r="W52" s="52">
        <f t="shared" ref="W52" si="493">IF(T52="0","0",N52/T52)</f>
        <v>583.69826707441382</v>
      </c>
      <c r="X52" s="52">
        <f t="shared" ref="X52" si="494">IF(U52="0","0",O52/U52)</f>
        <v>583.69826707441382</v>
      </c>
      <c r="Y52" s="52">
        <f t="shared" ref="Y52" si="495">IF(V52="0","0",O52/V52)</f>
        <v>778.2643560992185</v>
      </c>
      <c r="Z52" s="53" t="str">
        <f t="shared" ref="Z52" si="496">IF(Q52=0,"0",E52/Q52)</f>
        <v>0</v>
      </c>
      <c r="AA52" s="53" t="str">
        <f t="shared" ref="AA52" si="497">IF(Q52=0,"0",F52/Q52)</f>
        <v>0</v>
      </c>
      <c r="AB52" s="53" t="str">
        <f t="shared" ref="AB52" si="498">IF(Q52=0,"0",G52/Q52)</f>
        <v>0</v>
      </c>
      <c r="AC52" s="54" t="str">
        <f t="shared" ref="AC52" si="499">IF(Z52="0","0",O52/Z52)</f>
        <v>0</v>
      </c>
      <c r="AD52" s="54" t="str">
        <f t="shared" ref="AD52" si="500">IF(AA52="0","0",N52/AA52)</f>
        <v>0</v>
      </c>
      <c r="AE52" s="54" t="str">
        <f t="shared" ref="AE52" si="501">IF(AB52="0","0",O52/AB52)</f>
        <v>0</v>
      </c>
      <c r="AF52" s="55" t="str">
        <f t="shared" ref="AF52" si="502">IF(R52=0,"0",E52/R52)</f>
        <v>0</v>
      </c>
      <c r="AG52" s="55" t="str">
        <f t="shared" ref="AG52" si="503">IF(R52=0,"0",F52/R52)</f>
        <v>0</v>
      </c>
      <c r="AH52" s="55" t="str">
        <f t="shared" ref="AH52" si="504">IF(R52=0,"0",G52/R52)</f>
        <v>0</v>
      </c>
      <c r="AI52" s="56" t="str">
        <f t="shared" ref="AI52" si="505">IF(AF52="0","0",O52/AF52)</f>
        <v>0</v>
      </c>
      <c r="AJ52" s="56" t="str">
        <f t="shared" ref="AJ52" si="506">IF(AG52="0","0",O52/AG52)</f>
        <v>0</v>
      </c>
      <c r="AK52" s="56" t="str">
        <f t="shared" ref="AK52" si="507">IF(AH52="0","0",N52/AH52)</f>
        <v>0</v>
      </c>
      <c r="AL52" s="57">
        <f t="shared" ref="AL52" si="508">T52+Z52+AF52</f>
        <v>19.62</v>
      </c>
      <c r="AM52" s="57">
        <f t="shared" ref="AM52" si="509">U52+AA52+AG52</f>
        <v>9.81</v>
      </c>
      <c r="AN52" s="57">
        <f t="shared" ref="AN52" si="510">V52+AB52+AH52</f>
        <v>7.3574999999999999</v>
      </c>
      <c r="AO52" s="6" t="str">
        <f t="shared" ref="AO52" si="511">IF(I52="Strap","Tensile",IF(P52&gt;0,"Tensile","Shear"))</f>
        <v>Tensile</v>
      </c>
      <c r="AP52" s="6" t="str">
        <f t="shared" ref="AP52" si="512">IF(I52="Strap","Tensile",IF(Q52&gt;0,"Tensile","Shear"))</f>
        <v>Shear</v>
      </c>
      <c r="AQ52" s="6" t="str">
        <f t="shared" ref="AQ52" si="513">IF(I52="Strap","Tensile",IF(R52&gt;0,"Tensile","Shear"))</f>
        <v>Shear</v>
      </c>
      <c r="AR52" s="58">
        <f t="shared" ref="AR52" si="514">W52+AC52+AI52</f>
        <v>583.69826707441382</v>
      </c>
      <c r="AS52" s="58">
        <f t="shared" ref="AS52" si="515">X52+AD52+AJ52</f>
        <v>583.69826707441382</v>
      </c>
      <c r="AT52" s="58">
        <f t="shared" ref="AT52" si="516">Y52+AE52+AK52</f>
        <v>778.2643560992185</v>
      </c>
    </row>
    <row r="53" spans="2:46" ht="30" x14ac:dyDescent="0.25">
      <c r="B53" s="36">
        <v>44</v>
      </c>
      <c r="C53" s="113" t="s">
        <v>150</v>
      </c>
      <c r="D53" s="41">
        <v>60</v>
      </c>
      <c r="E53" s="78">
        <v>2354.4</v>
      </c>
      <c r="F53" s="78">
        <v>1177.2</v>
      </c>
      <c r="G53" s="78">
        <v>882.90000000000009</v>
      </c>
      <c r="H53" s="36"/>
      <c r="I53" s="36" t="s">
        <v>104</v>
      </c>
      <c r="J53" s="37" t="s">
        <v>104</v>
      </c>
      <c r="K53" s="49">
        <v>1</v>
      </c>
      <c r="L53" s="26">
        <v>2500</v>
      </c>
      <c r="M53" s="26">
        <v>2500</v>
      </c>
      <c r="N53" s="50">
        <v>2500</v>
      </c>
      <c r="O53" s="50">
        <v>2500</v>
      </c>
      <c r="P53" s="38">
        <v>0</v>
      </c>
      <c r="Q53" s="38">
        <v>1</v>
      </c>
      <c r="R53" s="38">
        <v>0</v>
      </c>
      <c r="S53" s="100">
        <f t="shared" si="6"/>
        <v>1</v>
      </c>
      <c r="T53" s="51" t="s">
        <v>125</v>
      </c>
      <c r="U53" s="51" t="s">
        <v>125</v>
      </c>
      <c r="V53" s="51" t="s">
        <v>125</v>
      </c>
      <c r="W53" s="52" t="s">
        <v>125</v>
      </c>
      <c r="X53" s="52" t="s">
        <v>125</v>
      </c>
      <c r="Y53" s="52" t="s">
        <v>125</v>
      </c>
      <c r="Z53" s="53">
        <v>2354.4</v>
      </c>
      <c r="AA53" s="53">
        <v>1177.2</v>
      </c>
      <c r="AB53" s="53">
        <v>882.90000000000009</v>
      </c>
      <c r="AC53" s="54">
        <v>1.0618416581719334</v>
      </c>
      <c r="AD53" s="54">
        <v>2.1236833163438669</v>
      </c>
      <c r="AE53" s="54">
        <v>2.8315777551251555</v>
      </c>
      <c r="AF53" s="55" t="s">
        <v>125</v>
      </c>
      <c r="AG53" s="55" t="s">
        <v>125</v>
      </c>
      <c r="AH53" s="55" t="s">
        <v>125</v>
      </c>
      <c r="AI53" s="56" t="s">
        <v>125</v>
      </c>
      <c r="AJ53" s="56" t="s">
        <v>125</v>
      </c>
      <c r="AK53" s="56" t="s">
        <v>125</v>
      </c>
      <c r="AL53" s="57">
        <v>2354.4</v>
      </c>
      <c r="AM53" s="57">
        <v>1177.2</v>
      </c>
      <c r="AN53" s="57">
        <v>882.90000000000009</v>
      </c>
      <c r="AO53" s="6" t="s">
        <v>109</v>
      </c>
      <c r="AP53" s="6" t="s">
        <v>110</v>
      </c>
      <c r="AQ53" s="6" t="s">
        <v>109</v>
      </c>
      <c r="AR53" s="58">
        <v>1.0618416581719334</v>
      </c>
      <c r="AS53" s="58">
        <v>2.1236833163438669</v>
      </c>
      <c r="AT53" s="58">
        <v>2.8315777551251555</v>
      </c>
    </row>
    <row r="54" spans="2:46" x14ac:dyDescent="0.25">
      <c r="B54" s="36">
        <v>45</v>
      </c>
      <c r="C54" s="34" t="s">
        <v>164</v>
      </c>
      <c r="D54" s="40">
        <v>15</v>
      </c>
      <c r="E54" s="78">
        <f t="shared" si="42"/>
        <v>588.6</v>
      </c>
      <c r="F54" s="78">
        <f t="shared" si="43"/>
        <v>294.3</v>
      </c>
      <c r="G54" s="78">
        <f t="shared" si="44"/>
        <v>220.72500000000002</v>
      </c>
      <c r="H54" s="36"/>
      <c r="I54" s="36">
        <v>8.8000000000000007</v>
      </c>
      <c r="J54" s="37" t="s">
        <v>37</v>
      </c>
      <c r="K54" s="49">
        <f>VLOOKUP(J54,'Fastener Data'!$E$3:$G$29,2,FALSE)</f>
        <v>17.893999999999998</v>
      </c>
      <c r="L54" s="26">
        <f>VLOOKUP(I54,'Fastener Data'!$B$3:$C$18,2,FALSE)</f>
        <v>640</v>
      </c>
      <c r="M54" s="26">
        <f t="shared" ref="M54:M55" si="517">0.5*L54</f>
        <v>320</v>
      </c>
      <c r="N54" s="50">
        <f t="shared" si="142"/>
        <v>11452.16</v>
      </c>
      <c r="O54" s="50">
        <f t="shared" si="143"/>
        <v>5726.08</v>
      </c>
      <c r="P54" s="38">
        <v>0</v>
      </c>
      <c r="Q54" s="38">
        <v>0</v>
      </c>
      <c r="R54" s="38">
        <v>4</v>
      </c>
      <c r="S54" s="100">
        <f t="shared" si="6"/>
        <v>4</v>
      </c>
      <c r="T54" s="51" t="str">
        <f t="shared" si="48"/>
        <v>0</v>
      </c>
      <c r="U54" s="51" t="str">
        <f t="shared" si="49"/>
        <v>0</v>
      </c>
      <c r="V54" s="51" t="str">
        <f t="shared" si="50"/>
        <v>0</v>
      </c>
      <c r="W54" s="52" t="str">
        <f t="shared" si="51"/>
        <v>0</v>
      </c>
      <c r="X54" s="52" t="str">
        <f t="shared" si="52"/>
        <v>0</v>
      </c>
      <c r="Y54" s="52" t="str">
        <f t="shared" si="53"/>
        <v>0</v>
      </c>
      <c r="Z54" s="53" t="str">
        <f t="shared" si="54"/>
        <v>0</v>
      </c>
      <c r="AA54" s="53" t="str">
        <f t="shared" si="55"/>
        <v>0</v>
      </c>
      <c r="AB54" s="53" t="str">
        <f t="shared" si="56"/>
        <v>0</v>
      </c>
      <c r="AC54" s="54" t="str">
        <f t="shared" si="57"/>
        <v>0</v>
      </c>
      <c r="AD54" s="54" t="str">
        <f t="shared" si="58"/>
        <v>0</v>
      </c>
      <c r="AE54" s="54" t="str">
        <f t="shared" si="59"/>
        <v>0</v>
      </c>
      <c r="AF54" s="55">
        <f t="shared" si="60"/>
        <v>147.15</v>
      </c>
      <c r="AG54" s="55">
        <f t="shared" si="61"/>
        <v>73.575000000000003</v>
      </c>
      <c r="AH54" s="55">
        <f t="shared" si="62"/>
        <v>55.181250000000006</v>
      </c>
      <c r="AI54" s="56">
        <f t="shared" si="63"/>
        <v>38.913217804960922</v>
      </c>
      <c r="AJ54" s="56">
        <f t="shared" si="64"/>
        <v>77.826435609921845</v>
      </c>
      <c r="AK54" s="56">
        <f t="shared" si="65"/>
        <v>207.53716162645824</v>
      </c>
      <c r="AL54" s="57">
        <f t="shared" si="66"/>
        <v>147.15</v>
      </c>
      <c r="AM54" s="57">
        <f t="shared" si="67"/>
        <v>73.575000000000003</v>
      </c>
      <c r="AN54" s="57">
        <f t="shared" si="68"/>
        <v>55.181250000000006</v>
      </c>
      <c r="AO54" s="6" t="str">
        <f t="shared" si="69"/>
        <v>Shear</v>
      </c>
      <c r="AP54" s="6" t="str">
        <f t="shared" si="70"/>
        <v>Shear</v>
      </c>
      <c r="AQ54" s="6" t="str">
        <f t="shared" si="71"/>
        <v>Tensile</v>
      </c>
      <c r="AR54" s="58">
        <f t="shared" si="72"/>
        <v>38.913217804960922</v>
      </c>
      <c r="AS54" s="58">
        <f t="shared" si="73"/>
        <v>77.826435609921845</v>
      </c>
      <c r="AT54" s="58">
        <f t="shared" si="74"/>
        <v>207.53716162645824</v>
      </c>
    </row>
    <row r="55" spans="2:46" ht="30" x14ac:dyDescent="0.25">
      <c r="B55" s="36">
        <v>46</v>
      </c>
      <c r="C55" s="113" t="s">
        <v>165</v>
      </c>
      <c r="D55" s="40">
        <v>15</v>
      </c>
      <c r="E55" s="78">
        <f t="shared" ref="E55" si="518">D55*$D$3*$D$4</f>
        <v>588.6</v>
      </c>
      <c r="F55" s="78">
        <f t="shared" ref="F55" si="519">D55*$D$3*$D$5</f>
        <v>294.3</v>
      </c>
      <c r="G55" s="78">
        <f t="shared" ref="G55" si="520">D55*$D$3*$D$6</f>
        <v>220.72500000000002</v>
      </c>
      <c r="H55" s="36"/>
      <c r="I55" s="36">
        <v>8.8000000000000007</v>
      </c>
      <c r="J55" s="37" t="s">
        <v>37</v>
      </c>
      <c r="K55" s="49">
        <f>VLOOKUP(J55,'Fastener Data'!$E$3:$G$29,2,FALSE)</f>
        <v>17.893999999999998</v>
      </c>
      <c r="L55" s="26">
        <f>VLOOKUP(I55,'Fastener Data'!$B$3:$C$18,2,FALSE)</f>
        <v>640</v>
      </c>
      <c r="M55" s="26">
        <f t="shared" si="517"/>
        <v>320</v>
      </c>
      <c r="N55" s="50">
        <f t="shared" ref="N55" si="521">K55*L55</f>
        <v>11452.16</v>
      </c>
      <c r="O55" s="50">
        <f t="shared" ref="O55" si="522">K55*M55</f>
        <v>5726.08</v>
      </c>
      <c r="P55" s="38">
        <v>2</v>
      </c>
      <c r="Q55" s="38">
        <v>0</v>
      </c>
      <c r="R55" s="38">
        <v>0</v>
      </c>
      <c r="S55" s="100">
        <f t="shared" ref="S55" si="523">SUM(P55:R55)</f>
        <v>2</v>
      </c>
      <c r="T55" s="51">
        <f t="shared" ref="T55" si="524">IF(P55=0,"0",E55/P55)</f>
        <v>294.3</v>
      </c>
      <c r="U55" s="51">
        <f t="shared" ref="U55" si="525">IF(P55=0,"0",F55/P55)</f>
        <v>147.15</v>
      </c>
      <c r="V55" s="51">
        <f t="shared" ref="V55" si="526">IF(P55=0,"0",G55/P55)</f>
        <v>110.36250000000001</v>
      </c>
      <c r="W55" s="52">
        <f t="shared" ref="W55" si="527">IF(T55="0","0",N55/T55)</f>
        <v>38.913217804960922</v>
      </c>
      <c r="X55" s="52">
        <f t="shared" ref="X55" si="528">IF(U55="0","0",O55/U55)</f>
        <v>38.913217804960922</v>
      </c>
      <c r="Y55" s="52">
        <f t="shared" ref="Y55" si="529">IF(V55="0","0",O55/V55)</f>
        <v>51.884290406614561</v>
      </c>
      <c r="Z55" s="53" t="str">
        <f t="shared" ref="Z55" si="530">IF(Q55=0,"0",E55/Q55)</f>
        <v>0</v>
      </c>
      <c r="AA55" s="53" t="str">
        <f t="shared" ref="AA55" si="531">IF(Q55=0,"0",F55/Q55)</f>
        <v>0</v>
      </c>
      <c r="AB55" s="53" t="str">
        <f t="shared" ref="AB55" si="532">IF(Q55=0,"0",G55/Q55)</f>
        <v>0</v>
      </c>
      <c r="AC55" s="54" t="str">
        <f t="shared" ref="AC55" si="533">IF(Z55="0","0",O55/Z55)</f>
        <v>0</v>
      </c>
      <c r="AD55" s="54" t="str">
        <f t="shared" ref="AD55" si="534">IF(AA55="0","0",N55/AA55)</f>
        <v>0</v>
      </c>
      <c r="AE55" s="54" t="str">
        <f t="shared" ref="AE55" si="535">IF(AB55="0","0",O55/AB55)</f>
        <v>0</v>
      </c>
      <c r="AF55" s="55" t="str">
        <f t="shared" ref="AF55" si="536">IF(R55=0,"0",E55/R55)</f>
        <v>0</v>
      </c>
      <c r="AG55" s="55" t="str">
        <f t="shared" ref="AG55" si="537">IF(R55=0,"0",F55/R55)</f>
        <v>0</v>
      </c>
      <c r="AH55" s="55" t="str">
        <f t="shared" ref="AH55" si="538">IF(R55=0,"0",G55/R55)</f>
        <v>0</v>
      </c>
      <c r="AI55" s="56" t="str">
        <f t="shared" ref="AI55" si="539">IF(AF55="0","0",O55/AF55)</f>
        <v>0</v>
      </c>
      <c r="AJ55" s="56" t="str">
        <f t="shared" ref="AJ55" si="540">IF(AG55="0","0",O55/AG55)</f>
        <v>0</v>
      </c>
      <c r="AK55" s="56" t="str">
        <f t="shared" ref="AK55" si="541">IF(AH55="0","0",N55/AH55)</f>
        <v>0</v>
      </c>
      <c r="AL55" s="57">
        <f t="shared" ref="AL55" si="542">T55+Z55+AF55</f>
        <v>294.3</v>
      </c>
      <c r="AM55" s="57">
        <f t="shared" ref="AM55" si="543">U55+AA55+AG55</f>
        <v>147.15</v>
      </c>
      <c r="AN55" s="57">
        <f t="shared" ref="AN55" si="544">V55+AB55+AH55</f>
        <v>110.36250000000001</v>
      </c>
      <c r="AO55" s="6" t="str">
        <f t="shared" ref="AO55" si="545">IF(I55="Strap","Tensile",IF(P55&gt;0,"Tensile","Shear"))</f>
        <v>Tensile</v>
      </c>
      <c r="AP55" s="6" t="str">
        <f t="shared" ref="AP55" si="546">IF(I55="Strap","Tensile",IF(Q55&gt;0,"Tensile","Shear"))</f>
        <v>Shear</v>
      </c>
      <c r="AQ55" s="6" t="str">
        <f t="shared" ref="AQ55" si="547">IF(I55="Strap","Tensile",IF(R55&gt;0,"Tensile","Shear"))</f>
        <v>Shear</v>
      </c>
      <c r="AR55" s="58">
        <f t="shared" ref="AR55" si="548">W55+AC55+AI55</f>
        <v>38.913217804960922</v>
      </c>
      <c r="AS55" s="58">
        <f t="shared" ref="AS55" si="549">X55+AD55+AJ55</f>
        <v>38.913217804960922</v>
      </c>
      <c r="AT55" s="58">
        <f t="shared" ref="AT55" si="550">Y55+AE55+AK55</f>
        <v>51.884290406614561</v>
      </c>
    </row>
    <row r="56" spans="2:46" x14ac:dyDescent="0.25">
      <c r="B56" s="36">
        <v>47</v>
      </c>
      <c r="C56" s="35" t="s">
        <v>123</v>
      </c>
      <c r="D56" s="39">
        <v>14</v>
      </c>
      <c r="E56" s="78">
        <f t="shared" si="42"/>
        <v>549.36</v>
      </c>
      <c r="F56" s="78">
        <f t="shared" si="43"/>
        <v>274.68</v>
      </c>
      <c r="G56" s="78">
        <f t="shared" si="44"/>
        <v>206.01</v>
      </c>
      <c r="H56" s="36"/>
      <c r="I56" s="37" t="s">
        <v>102</v>
      </c>
      <c r="J56" s="37" t="s">
        <v>102</v>
      </c>
      <c r="K56" s="49">
        <f>VLOOKUP(J56,'Fastener Data'!$E$3:$G$29,2,FALSE)</f>
        <v>1</v>
      </c>
      <c r="L56" s="26">
        <f>VLOOKUP(I56,'Fastener Data'!$B$3:$C$18,2,FALSE)</f>
        <v>5000</v>
      </c>
      <c r="M56" s="26">
        <f>L56</f>
        <v>5000</v>
      </c>
      <c r="N56" s="50">
        <f t="shared" si="142"/>
        <v>5000</v>
      </c>
      <c r="O56" s="50">
        <f t="shared" si="143"/>
        <v>5000</v>
      </c>
      <c r="P56" s="38">
        <v>0</v>
      </c>
      <c r="Q56" s="38">
        <v>1</v>
      </c>
      <c r="R56" s="38">
        <v>0</v>
      </c>
      <c r="S56" s="100">
        <f t="shared" si="6"/>
        <v>1</v>
      </c>
      <c r="T56" s="51" t="str">
        <f t="shared" si="48"/>
        <v>0</v>
      </c>
      <c r="U56" s="51" t="str">
        <f t="shared" si="49"/>
        <v>0</v>
      </c>
      <c r="V56" s="51" t="str">
        <f t="shared" si="50"/>
        <v>0</v>
      </c>
      <c r="W56" s="52" t="str">
        <f t="shared" si="51"/>
        <v>0</v>
      </c>
      <c r="X56" s="52" t="str">
        <f t="shared" si="52"/>
        <v>0</v>
      </c>
      <c r="Y56" s="52" t="str">
        <f t="shared" si="53"/>
        <v>0</v>
      </c>
      <c r="Z56" s="53">
        <f t="shared" si="54"/>
        <v>549.36</v>
      </c>
      <c r="AA56" s="53">
        <f t="shared" si="55"/>
        <v>274.68</v>
      </c>
      <c r="AB56" s="53">
        <f t="shared" si="56"/>
        <v>206.01</v>
      </c>
      <c r="AC56" s="54">
        <f t="shared" si="57"/>
        <v>9.1014999271879997</v>
      </c>
      <c r="AD56" s="54">
        <f t="shared" si="58"/>
        <v>18.202999854375999</v>
      </c>
      <c r="AE56" s="54">
        <f t="shared" si="59"/>
        <v>24.270666472501336</v>
      </c>
      <c r="AF56" s="55" t="str">
        <f t="shared" si="60"/>
        <v>0</v>
      </c>
      <c r="AG56" s="55" t="str">
        <f t="shared" si="61"/>
        <v>0</v>
      </c>
      <c r="AH56" s="55" t="str">
        <f t="shared" si="62"/>
        <v>0</v>
      </c>
      <c r="AI56" s="56" t="str">
        <f t="shared" si="63"/>
        <v>0</v>
      </c>
      <c r="AJ56" s="56" t="str">
        <f t="shared" si="64"/>
        <v>0</v>
      </c>
      <c r="AK56" s="56" t="str">
        <f t="shared" si="65"/>
        <v>0</v>
      </c>
      <c r="AL56" s="57">
        <f t="shared" si="66"/>
        <v>549.36</v>
      </c>
      <c r="AM56" s="57">
        <f t="shared" si="67"/>
        <v>274.68</v>
      </c>
      <c r="AN56" s="57">
        <f t="shared" si="68"/>
        <v>206.01</v>
      </c>
      <c r="AO56" s="6" t="str">
        <f t="shared" si="69"/>
        <v>Shear</v>
      </c>
      <c r="AP56" s="6" t="str">
        <f t="shared" si="70"/>
        <v>Tensile</v>
      </c>
      <c r="AQ56" s="6" t="str">
        <f t="shared" si="71"/>
        <v>Shear</v>
      </c>
      <c r="AR56" s="58">
        <f t="shared" si="72"/>
        <v>9.1014999271879997</v>
      </c>
      <c r="AS56" s="58">
        <f t="shared" si="73"/>
        <v>18.202999854375999</v>
      </c>
      <c r="AT56" s="58">
        <f t="shared" si="74"/>
        <v>24.270666472501336</v>
      </c>
    </row>
    <row r="57" spans="2:46" ht="30" x14ac:dyDescent="0.25">
      <c r="B57" s="36">
        <v>48</v>
      </c>
      <c r="C57" s="35" t="s">
        <v>149</v>
      </c>
      <c r="D57" s="39">
        <v>160</v>
      </c>
      <c r="E57" s="78">
        <f t="shared" si="42"/>
        <v>6278.4000000000005</v>
      </c>
      <c r="F57" s="78">
        <f t="shared" si="43"/>
        <v>3139.2000000000003</v>
      </c>
      <c r="G57" s="78">
        <f t="shared" si="44"/>
        <v>2354.4</v>
      </c>
      <c r="H57" s="36"/>
      <c r="I57" s="37" t="s">
        <v>108</v>
      </c>
      <c r="J57" s="37" t="s">
        <v>108</v>
      </c>
      <c r="K57" s="49">
        <f>VLOOKUP(J57,'Fastener Data'!$E$3:$G$29,2,FALSE)</f>
        <v>113.09733552923255</v>
      </c>
      <c r="L57" s="26">
        <f>VLOOKUP(I57,'Fastener Data'!$B$3:$C$18,2,FALSE)</f>
        <v>165</v>
      </c>
      <c r="M57" s="26">
        <f>L57*0.5</f>
        <v>82.5</v>
      </c>
      <c r="N57" s="50">
        <f t="shared" si="142"/>
        <v>18661.060362323373</v>
      </c>
      <c r="O57" s="50">
        <f t="shared" si="143"/>
        <v>9330.5301811616864</v>
      </c>
      <c r="P57" s="38">
        <v>0</v>
      </c>
      <c r="Q57" s="38">
        <v>2</v>
      </c>
      <c r="R57" s="38">
        <v>0</v>
      </c>
      <c r="S57" s="100">
        <f t="shared" ref="S57" si="551">SUM(P57:R57)</f>
        <v>2</v>
      </c>
      <c r="T57" s="51" t="str">
        <f t="shared" si="48"/>
        <v>0</v>
      </c>
      <c r="U57" s="51" t="str">
        <f t="shared" si="49"/>
        <v>0</v>
      </c>
      <c r="V57" s="51" t="str">
        <f t="shared" si="50"/>
        <v>0</v>
      </c>
      <c r="W57" s="52" t="str">
        <f t="shared" si="51"/>
        <v>0</v>
      </c>
      <c r="X57" s="52" t="str">
        <f t="shared" si="52"/>
        <v>0</v>
      </c>
      <c r="Y57" s="52" t="str">
        <f t="shared" si="53"/>
        <v>0</v>
      </c>
      <c r="Z57" s="53">
        <f t="shared" si="54"/>
        <v>3139.2000000000003</v>
      </c>
      <c r="AA57" s="53">
        <f t="shared" si="55"/>
        <v>1569.6000000000001</v>
      </c>
      <c r="AB57" s="53">
        <f t="shared" si="56"/>
        <v>1177.2</v>
      </c>
      <c r="AC57" s="54">
        <f t="shared" si="57"/>
        <v>2.9722636917563983</v>
      </c>
      <c r="AD57" s="54">
        <f t="shared" si="58"/>
        <v>11.889054767025593</v>
      </c>
      <c r="AE57" s="54">
        <f t="shared" si="59"/>
        <v>7.9260365113503957</v>
      </c>
      <c r="AF57" s="55" t="str">
        <f t="shared" si="60"/>
        <v>0</v>
      </c>
      <c r="AG57" s="55" t="str">
        <f t="shared" si="61"/>
        <v>0</v>
      </c>
      <c r="AH57" s="55" t="str">
        <f t="shared" si="62"/>
        <v>0</v>
      </c>
      <c r="AI57" s="56" t="str">
        <f t="shared" si="63"/>
        <v>0</v>
      </c>
      <c r="AJ57" s="56" t="str">
        <f t="shared" si="64"/>
        <v>0</v>
      </c>
      <c r="AK57" s="56" t="str">
        <f t="shared" si="65"/>
        <v>0</v>
      </c>
      <c r="AL57" s="57">
        <f t="shared" si="66"/>
        <v>3139.2000000000003</v>
      </c>
      <c r="AM57" s="57">
        <f t="shared" si="67"/>
        <v>1569.6000000000001</v>
      </c>
      <c r="AN57" s="57">
        <f t="shared" si="68"/>
        <v>1177.2</v>
      </c>
      <c r="AO57" s="6" t="str">
        <f t="shared" si="69"/>
        <v>Shear</v>
      </c>
      <c r="AP57" s="6" t="str">
        <f t="shared" si="70"/>
        <v>Tensile</v>
      </c>
      <c r="AQ57" s="6" t="str">
        <f t="shared" si="71"/>
        <v>Shear</v>
      </c>
      <c r="AR57" s="58">
        <f t="shared" si="72"/>
        <v>2.9722636917563983</v>
      </c>
      <c r="AS57" s="58">
        <f t="shared" si="73"/>
        <v>11.889054767025593</v>
      </c>
      <c r="AT57" s="58">
        <f t="shared" si="74"/>
        <v>7.9260365113503957</v>
      </c>
    </row>
    <row r="58" spans="2:46" ht="30" x14ac:dyDescent="0.25">
      <c r="B58" s="36">
        <v>49</v>
      </c>
      <c r="C58" s="113" t="s">
        <v>139</v>
      </c>
      <c r="D58" s="41">
        <v>59</v>
      </c>
      <c r="E58" s="78">
        <v>2354.4</v>
      </c>
      <c r="F58" s="78">
        <v>1177.2</v>
      </c>
      <c r="G58" s="78">
        <v>882.90000000000009</v>
      </c>
      <c r="H58" s="36"/>
      <c r="I58" s="36" t="s">
        <v>166</v>
      </c>
      <c r="J58" s="37" t="s">
        <v>166</v>
      </c>
      <c r="K58" s="49">
        <f>VLOOKUP(J58,'Fastener Data'!$E$3:$G$29,2,FALSE)</f>
        <v>1</v>
      </c>
      <c r="L58" s="26">
        <f>VLOOKUP(I58,'Fastener Data'!$B$3:$C$18,2,FALSE)</f>
        <v>18000</v>
      </c>
      <c r="M58" s="26">
        <f>L58</f>
        <v>18000</v>
      </c>
      <c r="N58" s="50">
        <f t="shared" ref="N58" si="552">K58*L58</f>
        <v>18000</v>
      </c>
      <c r="O58" s="50">
        <f t="shared" ref="O58" si="553">K58*M58</f>
        <v>18000</v>
      </c>
      <c r="P58" s="38">
        <v>0</v>
      </c>
      <c r="Q58" s="38">
        <v>2</v>
      </c>
      <c r="R58" s="38">
        <v>0</v>
      </c>
      <c r="S58" s="100">
        <f t="shared" ref="S58" si="554">SUM(P58:R58)</f>
        <v>2</v>
      </c>
      <c r="T58" s="51" t="str">
        <f t="shared" ref="T58" si="555">IF(P58=0,"0",E58/P58)</f>
        <v>0</v>
      </c>
      <c r="U58" s="51" t="str">
        <f t="shared" ref="U58" si="556">IF(P58=0,"0",F58/P58)</f>
        <v>0</v>
      </c>
      <c r="V58" s="51" t="str">
        <f t="shared" ref="V58" si="557">IF(P58=0,"0",G58/P58)</f>
        <v>0</v>
      </c>
      <c r="W58" s="52" t="str">
        <f t="shared" ref="W58" si="558">IF(T58="0","0",N58/T58)</f>
        <v>0</v>
      </c>
      <c r="X58" s="52" t="str">
        <f t="shared" ref="X58" si="559">IF(U58="0","0",O58/U58)</f>
        <v>0</v>
      </c>
      <c r="Y58" s="52" t="str">
        <f t="shared" ref="Y58" si="560">IF(V58="0","0",O58/V58)</f>
        <v>0</v>
      </c>
      <c r="Z58" s="53">
        <f t="shared" ref="Z58" si="561">IF(Q58=0,"0",E58/Q58)</f>
        <v>1177.2</v>
      </c>
      <c r="AA58" s="53">
        <f t="shared" ref="AA58" si="562">IF(Q58=0,"0",F58/Q58)</f>
        <v>588.6</v>
      </c>
      <c r="AB58" s="53">
        <f t="shared" ref="AB58" si="563">IF(Q58=0,"0",G58/Q58)</f>
        <v>441.45000000000005</v>
      </c>
      <c r="AC58" s="54">
        <f t="shared" ref="AC58" si="564">IF(Z58="0","0",O58/Z58)</f>
        <v>15.290519877675841</v>
      </c>
      <c r="AD58" s="54">
        <f t="shared" ref="AD58" si="565">IF(AA58="0","0",N58/AA58)</f>
        <v>30.581039755351682</v>
      </c>
      <c r="AE58" s="54">
        <f t="shared" ref="AE58" si="566">IF(AB58="0","0",O58/AB58)</f>
        <v>40.774719673802238</v>
      </c>
      <c r="AF58" s="55" t="str">
        <f t="shared" ref="AF58" si="567">IF(R58=0,"0",E58/R58)</f>
        <v>0</v>
      </c>
      <c r="AG58" s="55" t="str">
        <f t="shared" ref="AG58" si="568">IF(R58=0,"0",F58/R58)</f>
        <v>0</v>
      </c>
      <c r="AH58" s="55" t="str">
        <f t="shared" ref="AH58" si="569">IF(R58=0,"0",G58/R58)</f>
        <v>0</v>
      </c>
      <c r="AI58" s="56" t="str">
        <f t="shared" ref="AI58" si="570">IF(AF58="0","0",O58/AF58)</f>
        <v>0</v>
      </c>
      <c r="AJ58" s="56" t="str">
        <f t="shared" ref="AJ58" si="571">IF(AG58="0","0",O58/AG58)</f>
        <v>0</v>
      </c>
      <c r="AK58" s="56" t="str">
        <f t="shared" ref="AK58" si="572">IF(AH58="0","0",N58/AH58)</f>
        <v>0</v>
      </c>
      <c r="AL58" s="57">
        <f t="shared" ref="AL58" si="573">T58+Z58+AF58</f>
        <v>1177.2</v>
      </c>
      <c r="AM58" s="57">
        <f t="shared" ref="AM58" si="574">U58+AA58+AG58</f>
        <v>588.6</v>
      </c>
      <c r="AN58" s="57">
        <f t="shared" ref="AN58" si="575">V58+AB58+AH58</f>
        <v>441.45000000000005</v>
      </c>
      <c r="AO58" s="6" t="str">
        <f t="shared" ref="AO58" si="576">IF(I58="Strap","Tensile",IF(P58&gt;0,"Tensile","Shear"))</f>
        <v>Shear</v>
      </c>
      <c r="AP58" s="6" t="str">
        <f t="shared" ref="AP58" si="577">IF(I58="Strap","Tensile",IF(Q58&gt;0,"Tensile","Shear"))</f>
        <v>Tensile</v>
      </c>
      <c r="AQ58" s="6" t="str">
        <f t="shared" ref="AQ58" si="578">IF(I58="Strap","Tensile",IF(R58&gt;0,"Tensile","Shear"))</f>
        <v>Shear</v>
      </c>
      <c r="AR58" s="58">
        <f t="shared" ref="AR58" si="579">W58+AC58+AI58</f>
        <v>15.290519877675841</v>
      </c>
      <c r="AS58" s="58">
        <f t="shared" ref="AS58" si="580">X58+AD58+AJ58</f>
        <v>30.581039755351682</v>
      </c>
      <c r="AT58" s="58">
        <f t="shared" ref="AT58" si="581">Y58+AE58+AK58</f>
        <v>40.774719673802238</v>
      </c>
    </row>
    <row r="59" spans="2:46" x14ac:dyDescent="0.25">
      <c r="B59" s="36">
        <v>50</v>
      </c>
      <c r="C59" s="35" t="s">
        <v>130</v>
      </c>
      <c r="D59" s="39">
        <v>40</v>
      </c>
      <c r="E59" s="78">
        <f t="shared" ref="E59:E62" si="582">D59*$D$3*$D$4</f>
        <v>1569.6000000000001</v>
      </c>
      <c r="F59" s="78">
        <f t="shared" ref="F59:F62" si="583">D59*$D$3*$D$5</f>
        <v>784.80000000000007</v>
      </c>
      <c r="G59" s="78">
        <f t="shared" ref="G59:G62" si="584">D59*$D$3*$D$6</f>
        <v>588.6</v>
      </c>
      <c r="H59" s="36"/>
      <c r="I59" s="36" t="s">
        <v>166</v>
      </c>
      <c r="J59" s="37" t="s">
        <v>166</v>
      </c>
      <c r="K59" s="49">
        <f>VLOOKUP(J59,'Fastener Data'!$E$3:$G$29,2,FALSE)</f>
        <v>1</v>
      </c>
      <c r="L59" s="26">
        <f>VLOOKUP(I59,'Fastener Data'!$B$3:$C$18,2,FALSE)</f>
        <v>18000</v>
      </c>
      <c r="M59" s="26">
        <f>L59</f>
        <v>18000</v>
      </c>
      <c r="N59" s="50">
        <f t="shared" ref="N59:N60" si="585">K59*L59</f>
        <v>18000</v>
      </c>
      <c r="O59" s="50">
        <f t="shared" ref="O59:O60" si="586">K59*M59</f>
        <v>18000</v>
      </c>
      <c r="P59" s="38">
        <v>0</v>
      </c>
      <c r="Q59" s="38">
        <v>2</v>
      </c>
      <c r="R59" s="38">
        <v>0</v>
      </c>
      <c r="S59" s="100">
        <f t="shared" ref="S59" si="587">SUM(P59:R59)</f>
        <v>2</v>
      </c>
      <c r="T59" s="51" t="str">
        <f t="shared" ref="T59:T60" si="588">IF(P59=0,"0",E59/P59)</f>
        <v>0</v>
      </c>
      <c r="U59" s="51" t="str">
        <f t="shared" ref="U59:U60" si="589">IF(P59=0,"0",F59/P59)</f>
        <v>0</v>
      </c>
      <c r="V59" s="51" t="str">
        <f t="shared" ref="V59:V60" si="590">IF(P59=0,"0",G59/P59)</f>
        <v>0</v>
      </c>
      <c r="W59" s="52" t="str">
        <f t="shared" ref="W59:W60" si="591">IF(T59="0","0",N59/T59)</f>
        <v>0</v>
      </c>
      <c r="X59" s="52" t="str">
        <f t="shared" ref="X59:X60" si="592">IF(U59="0","0",O59/U59)</f>
        <v>0</v>
      </c>
      <c r="Y59" s="52" t="str">
        <f t="shared" ref="Y59:Y60" si="593">IF(V59="0","0",O59/V59)</f>
        <v>0</v>
      </c>
      <c r="Z59" s="53">
        <f t="shared" ref="Z59:Z60" si="594">IF(Q59=0,"0",E59/Q59)</f>
        <v>784.80000000000007</v>
      </c>
      <c r="AA59" s="53">
        <f t="shared" ref="AA59:AA60" si="595">IF(Q59=0,"0",F59/Q59)</f>
        <v>392.40000000000003</v>
      </c>
      <c r="AB59" s="53">
        <f t="shared" ref="AB59:AB60" si="596">IF(Q59=0,"0",G59/Q59)</f>
        <v>294.3</v>
      </c>
      <c r="AC59" s="54">
        <f t="shared" ref="AC59:AC60" si="597">IF(Z59="0","0",O59/Z59)</f>
        <v>22.935779816513758</v>
      </c>
      <c r="AD59" s="54">
        <f t="shared" ref="AD59:AD60" si="598">IF(AA59="0","0",N59/AA59)</f>
        <v>45.871559633027516</v>
      </c>
      <c r="AE59" s="54">
        <f t="shared" ref="AE59:AE60" si="599">IF(AB59="0","0",O59/AB59)</f>
        <v>61.162079510703364</v>
      </c>
      <c r="AF59" s="55" t="str">
        <f t="shared" ref="AF59:AF60" si="600">IF(R59=0,"0",E59/R59)</f>
        <v>0</v>
      </c>
      <c r="AG59" s="55" t="str">
        <f t="shared" ref="AG59:AG60" si="601">IF(R59=0,"0",F59/R59)</f>
        <v>0</v>
      </c>
      <c r="AH59" s="55" t="str">
        <f t="shared" ref="AH59:AH60" si="602">IF(R59=0,"0",G59/R59)</f>
        <v>0</v>
      </c>
      <c r="AI59" s="56" t="str">
        <f t="shared" ref="AI59:AI60" si="603">IF(AF59="0","0",O59/AF59)</f>
        <v>0</v>
      </c>
      <c r="AJ59" s="56" t="str">
        <f t="shared" ref="AJ59:AJ60" si="604">IF(AG59="0","0",O59/AG59)</f>
        <v>0</v>
      </c>
      <c r="AK59" s="56" t="str">
        <f t="shared" ref="AK59:AK60" si="605">IF(AH59="0","0",N59/AH59)</f>
        <v>0</v>
      </c>
      <c r="AL59" s="57">
        <f t="shared" ref="AL59:AL60" si="606">T59+Z59+AF59</f>
        <v>784.80000000000007</v>
      </c>
      <c r="AM59" s="57">
        <f t="shared" ref="AM59:AM60" si="607">U59+AA59+AG59</f>
        <v>392.40000000000003</v>
      </c>
      <c r="AN59" s="57">
        <f t="shared" ref="AN59:AN60" si="608">V59+AB59+AH59</f>
        <v>294.3</v>
      </c>
      <c r="AO59" s="6" t="str">
        <f t="shared" ref="AO59:AO60" si="609">IF(I59="Strap","Tensile",IF(P59&gt;0,"Tensile","Shear"))</f>
        <v>Shear</v>
      </c>
      <c r="AP59" s="6" t="str">
        <f t="shared" ref="AP59:AP60" si="610">IF(I59="Strap","Tensile",IF(Q59&gt;0,"Tensile","Shear"))</f>
        <v>Tensile</v>
      </c>
      <c r="AQ59" s="6" t="str">
        <f t="shared" ref="AQ59:AQ60" si="611">IF(I59="Strap","Tensile",IF(R59&gt;0,"Tensile","Shear"))</f>
        <v>Shear</v>
      </c>
      <c r="AR59" s="58">
        <f t="shared" ref="AR59:AR60" si="612">W59+AC59+AI59</f>
        <v>22.935779816513758</v>
      </c>
      <c r="AS59" s="58">
        <f t="shared" ref="AS59:AS60" si="613">X59+AD59+AJ59</f>
        <v>45.871559633027516</v>
      </c>
      <c r="AT59" s="58">
        <f t="shared" ref="AT59:AT60" si="614">Y59+AE59+AK59</f>
        <v>61.162079510703364</v>
      </c>
    </row>
    <row r="60" spans="2:46" ht="30" x14ac:dyDescent="0.25">
      <c r="B60" s="36">
        <v>51</v>
      </c>
      <c r="C60" s="35" t="s">
        <v>151</v>
      </c>
      <c r="D60" s="39">
        <v>2</v>
      </c>
      <c r="E60" s="78">
        <f t="shared" ref="E60" si="615">D60*$D$3*$D$4</f>
        <v>78.48</v>
      </c>
      <c r="F60" s="78">
        <f t="shared" ref="F60" si="616">D60*$D$3*$D$5</f>
        <v>39.24</v>
      </c>
      <c r="G60" s="78">
        <f t="shared" ref="G60" si="617">D60*$D$3*$D$6</f>
        <v>29.43</v>
      </c>
      <c r="H60" s="36"/>
      <c r="I60" s="36">
        <v>8.8000000000000007</v>
      </c>
      <c r="J60" s="37" t="s">
        <v>37</v>
      </c>
      <c r="K60" s="49">
        <f>VLOOKUP(J60,'Fastener Data'!$E$3:$G$29,2,FALSE)</f>
        <v>17.893999999999998</v>
      </c>
      <c r="L60" s="26">
        <f>VLOOKUP(I60,'Fastener Data'!$B$3:$C$18,2,FALSE)</f>
        <v>640</v>
      </c>
      <c r="M60" s="26">
        <f t="shared" ref="M60" si="618">L60*0.5</f>
        <v>320</v>
      </c>
      <c r="N60" s="50">
        <f t="shared" si="585"/>
        <v>11452.16</v>
      </c>
      <c r="O60" s="50">
        <f t="shared" si="586"/>
        <v>5726.08</v>
      </c>
      <c r="P60" s="38">
        <v>0</v>
      </c>
      <c r="Q60" s="38">
        <v>0</v>
      </c>
      <c r="R60" s="38">
        <v>2</v>
      </c>
      <c r="S60" s="100">
        <f t="shared" ref="S60" si="619">SUM(P60:R60)</f>
        <v>2</v>
      </c>
      <c r="T60" s="51" t="str">
        <f t="shared" si="588"/>
        <v>0</v>
      </c>
      <c r="U60" s="51" t="str">
        <f t="shared" si="589"/>
        <v>0</v>
      </c>
      <c r="V60" s="51" t="str">
        <f t="shared" si="590"/>
        <v>0</v>
      </c>
      <c r="W60" s="52" t="str">
        <f t="shared" si="591"/>
        <v>0</v>
      </c>
      <c r="X60" s="52" t="str">
        <f t="shared" si="592"/>
        <v>0</v>
      </c>
      <c r="Y60" s="52" t="str">
        <f t="shared" si="593"/>
        <v>0</v>
      </c>
      <c r="Z60" s="53" t="str">
        <f t="shared" si="594"/>
        <v>0</v>
      </c>
      <c r="AA60" s="53" t="str">
        <f t="shared" si="595"/>
        <v>0</v>
      </c>
      <c r="AB60" s="53" t="str">
        <f t="shared" si="596"/>
        <v>0</v>
      </c>
      <c r="AC60" s="54" t="str">
        <f t="shared" si="597"/>
        <v>0</v>
      </c>
      <c r="AD60" s="54" t="str">
        <f t="shared" si="598"/>
        <v>0</v>
      </c>
      <c r="AE60" s="54" t="str">
        <f t="shared" si="599"/>
        <v>0</v>
      </c>
      <c r="AF60" s="55">
        <f t="shared" si="600"/>
        <v>39.24</v>
      </c>
      <c r="AG60" s="55">
        <f t="shared" si="601"/>
        <v>19.62</v>
      </c>
      <c r="AH60" s="55">
        <f t="shared" si="602"/>
        <v>14.715</v>
      </c>
      <c r="AI60" s="56">
        <f t="shared" si="603"/>
        <v>145.92456676860346</v>
      </c>
      <c r="AJ60" s="56">
        <f t="shared" si="604"/>
        <v>291.84913353720691</v>
      </c>
      <c r="AK60" s="56">
        <f t="shared" si="605"/>
        <v>778.2643560992185</v>
      </c>
      <c r="AL60" s="57">
        <f t="shared" si="606"/>
        <v>39.24</v>
      </c>
      <c r="AM60" s="57">
        <f t="shared" si="607"/>
        <v>19.62</v>
      </c>
      <c r="AN60" s="57">
        <f t="shared" si="608"/>
        <v>14.715</v>
      </c>
      <c r="AO60" s="6" t="str">
        <f t="shared" si="609"/>
        <v>Shear</v>
      </c>
      <c r="AP60" s="6" t="str">
        <f t="shared" si="610"/>
        <v>Shear</v>
      </c>
      <c r="AQ60" s="6" t="str">
        <f t="shared" si="611"/>
        <v>Tensile</v>
      </c>
      <c r="AR60" s="58">
        <f t="shared" si="612"/>
        <v>145.92456676860346</v>
      </c>
      <c r="AS60" s="58">
        <f t="shared" si="613"/>
        <v>291.84913353720691</v>
      </c>
      <c r="AT60" s="58">
        <f t="shared" si="614"/>
        <v>778.2643560992185</v>
      </c>
    </row>
    <row r="61" spans="2:46" ht="30" x14ac:dyDescent="0.25">
      <c r="B61" s="36">
        <v>52</v>
      </c>
      <c r="C61" s="35" t="s">
        <v>152</v>
      </c>
      <c r="D61" s="39">
        <v>2</v>
      </c>
      <c r="E61" s="78">
        <f t="shared" ref="E61" si="620">D61*$D$3*$D$4</f>
        <v>78.48</v>
      </c>
      <c r="F61" s="78">
        <f t="shared" ref="F61" si="621">D61*$D$3*$D$5</f>
        <v>39.24</v>
      </c>
      <c r="G61" s="78">
        <f t="shared" ref="G61" si="622">D61*$D$3*$D$6</f>
        <v>29.43</v>
      </c>
      <c r="H61" s="36"/>
      <c r="I61" s="36">
        <v>8.8000000000000007</v>
      </c>
      <c r="J61" s="37" t="s">
        <v>37</v>
      </c>
      <c r="K61" s="49">
        <f>VLOOKUP(J61,'Fastener Data'!$E$3:$G$29,2,FALSE)</f>
        <v>17.893999999999998</v>
      </c>
      <c r="L61" s="26">
        <f>VLOOKUP(I61,'Fastener Data'!$B$3:$C$18,2,FALSE)</f>
        <v>640</v>
      </c>
      <c r="M61" s="26">
        <f t="shared" ref="M61" si="623">L61*0.5</f>
        <v>320</v>
      </c>
      <c r="N61" s="50">
        <f t="shared" ref="N61" si="624">K61*L61</f>
        <v>11452.16</v>
      </c>
      <c r="O61" s="50">
        <f t="shared" ref="O61" si="625">K61*M61</f>
        <v>5726.08</v>
      </c>
      <c r="P61" s="38">
        <v>0</v>
      </c>
      <c r="Q61" s="38">
        <v>2</v>
      </c>
      <c r="R61" s="38">
        <v>0</v>
      </c>
      <c r="S61" s="100">
        <f t="shared" ref="S61" si="626">SUM(P61:R61)</f>
        <v>2</v>
      </c>
      <c r="T61" s="51" t="str">
        <f t="shared" ref="T61" si="627">IF(P61=0,"0",E61/P61)</f>
        <v>0</v>
      </c>
      <c r="U61" s="51" t="str">
        <f t="shared" ref="U61" si="628">IF(P61=0,"0",F61/P61)</f>
        <v>0</v>
      </c>
      <c r="V61" s="51" t="str">
        <f t="shared" ref="V61" si="629">IF(P61=0,"0",G61/P61)</f>
        <v>0</v>
      </c>
      <c r="W61" s="52" t="str">
        <f t="shared" ref="W61" si="630">IF(T61="0","0",N61/T61)</f>
        <v>0</v>
      </c>
      <c r="X61" s="52" t="str">
        <f t="shared" ref="X61" si="631">IF(U61="0","0",O61/U61)</f>
        <v>0</v>
      </c>
      <c r="Y61" s="52" t="str">
        <f t="shared" ref="Y61" si="632">IF(V61="0","0",O61/V61)</f>
        <v>0</v>
      </c>
      <c r="Z61" s="53">
        <f t="shared" ref="Z61" si="633">IF(Q61=0,"0",E61/Q61)</f>
        <v>39.24</v>
      </c>
      <c r="AA61" s="53">
        <f t="shared" ref="AA61" si="634">IF(Q61=0,"0",F61/Q61)</f>
        <v>19.62</v>
      </c>
      <c r="AB61" s="53">
        <f t="shared" ref="AB61" si="635">IF(Q61=0,"0",G61/Q61)</f>
        <v>14.715</v>
      </c>
      <c r="AC61" s="54">
        <f t="shared" ref="AC61" si="636">IF(Z61="0","0",O61/Z61)</f>
        <v>145.92456676860346</v>
      </c>
      <c r="AD61" s="54">
        <f t="shared" ref="AD61" si="637">IF(AA61="0","0",N61/AA61)</f>
        <v>583.69826707441382</v>
      </c>
      <c r="AE61" s="54">
        <f t="shared" ref="AE61" si="638">IF(AB61="0","0",O61/AB61)</f>
        <v>389.13217804960925</v>
      </c>
      <c r="AF61" s="55" t="str">
        <f t="shared" ref="AF61" si="639">IF(R61=0,"0",E61/R61)</f>
        <v>0</v>
      </c>
      <c r="AG61" s="55" t="str">
        <f t="shared" ref="AG61" si="640">IF(R61=0,"0",F61/R61)</f>
        <v>0</v>
      </c>
      <c r="AH61" s="55" t="str">
        <f t="shared" ref="AH61" si="641">IF(R61=0,"0",G61/R61)</f>
        <v>0</v>
      </c>
      <c r="AI61" s="56" t="str">
        <f t="shared" ref="AI61" si="642">IF(AF61="0","0",O61/AF61)</f>
        <v>0</v>
      </c>
      <c r="AJ61" s="56" t="str">
        <f t="shared" ref="AJ61" si="643">IF(AG61="0","0",O61/AG61)</f>
        <v>0</v>
      </c>
      <c r="AK61" s="56" t="str">
        <f t="shared" ref="AK61" si="644">IF(AH61="0","0",N61/AH61)</f>
        <v>0</v>
      </c>
      <c r="AL61" s="57">
        <f t="shared" ref="AL61" si="645">T61+Z61+AF61</f>
        <v>39.24</v>
      </c>
      <c r="AM61" s="57">
        <f t="shared" ref="AM61" si="646">U61+AA61+AG61</f>
        <v>19.62</v>
      </c>
      <c r="AN61" s="57">
        <f t="shared" ref="AN61" si="647">V61+AB61+AH61</f>
        <v>14.715</v>
      </c>
      <c r="AO61" s="6" t="str">
        <f t="shared" ref="AO61" si="648">IF(I61="Strap","Tensile",IF(P61&gt;0,"Tensile","Shear"))</f>
        <v>Shear</v>
      </c>
      <c r="AP61" s="6" t="str">
        <f t="shared" ref="AP61" si="649">IF(I61="Strap","Tensile",IF(Q61&gt;0,"Tensile","Shear"))</f>
        <v>Tensile</v>
      </c>
      <c r="AQ61" s="6" t="str">
        <f t="shared" ref="AQ61" si="650">IF(I61="Strap","Tensile",IF(R61&gt;0,"Tensile","Shear"))</f>
        <v>Shear</v>
      </c>
      <c r="AR61" s="58">
        <f t="shared" ref="AR61" si="651">W61+AC61+AI61</f>
        <v>145.92456676860346</v>
      </c>
      <c r="AS61" s="58">
        <f t="shared" ref="AS61" si="652">X61+AD61+AJ61</f>
        <v>583.69826707441382</v>
      </c>
      <c r="AT61" s="58">
        <f t="shared" ref="AT61" si="653">Y61+AE61+AK61</f>
        <v>389.13217804960925</v>
      </c>
    </row>
    <row r="62" spans="2:46" x14ac:dyDescent="0.25">
      <c r="B62" s="36">
        <v>53</v>
      </c>
      <c r="C62" s="35" t="s">
        <v>124</v>
      </c>
      <c r="D62" s="39">
        <v>2</v>
      </c>
      <c r="E62" s="78">
        <f t="shared" si="582"/>
        <v>78.48</v>
      </c>
      <c r="F62" s="78">
        <f t="shared" si="583"/>
        <v>39.24</v>
      </c>
      <c r="G62" s="78">
        <f t="shared" si="584"/>
        <v>29.43</v>
      </c>
      <c r="H62" s="36"/>
      <c r="I62" s="36">
        <v>8.8000000000000007</v>
      </c>
      <c r="J62" s="37" t="s">
        <v>37</v>
      </c>
      <c r="K62" s="49">
        <f>VLOOKUP(J62,'Fastener Data'!$E$3:$G$29,2,FALSE)</f>
        <v>17.893999999999998</v>
      </c>
      <c r="L62" s="26">
        <f>VLOOKUP(I62,'Fastener Data'!$B$3:$C$18,2,FALSE)</f>
        <v>640</v>
      </c>
      <c r="M62" s="26">
        <f t="shared" ref="M62" si="654">L62*0.5</f>
        <v>320</v>
      </c>
      <c r="N62" s="50">
        <f t="shared" ref="N62" si="655">K62*L62</f>
        <v>11452.16</v>
      </c>
      <c r="O62" s="50">
        <f t="shared" ref="O62" si="656">K62*M62</f>
        <v>5726.08</v>
      </c>
      <c r="P62" s="38">
        <v>0</v>
      </c>
      <c r="Q62" s="38">
        <v>0</v>
      </c>
      <c r="R62" s="38">
        <v>2</v>
      </c>
      <c r="S62" s="100">
        <f t="shared" ref="S62" si="657">SUM(P62:R62)</f>
        <v>2</v>
      </c>
      <c r="T62" s="51" t="str">
        <f t="shared" ref="T62" si="658">IF(P62=0,"0",E62/P62)</f>
        <v>0</v>
      </c>
      <c r="U62" s="51" t="str">
        <f t="shared" ref="U62" si="659">IF(P62=0,"0",F62/P62)</f>
        <v>0</v>
      </c>
      <c r="V62" s="51" t="str">
        <f t="shared" ref="V62" si="660">IF(P62=0,"0",G62/P62)</f>
        <v>0</v>
      </c>
      <c r="W62" s="52" t="str">
        <f t="shared" ref="W62" si="661">IF(T62="0","0",N62/T62)</f>
        <v>0</v>
      </c>
      <c r="X62" s="52" t="str">
        <f t="shared" ref="X62" si="662">IF(U62="0","0",O62/U62)</f>
        <v>0</v>
      </c>
      <c r="Y62" s="52" t="str">
        <f t="shared" ref="Y62" si="663">IF(V62="0","0",O62/V62)</f>
        <v>0</v>
      </c>
      <c r="Z62" s="53" t="str">
        <f t="shared" ref="Z62" si="664">IF(Q62=0,"0",E62/Q62)</f>
        <v>0</v>
      </c>
      <c r="AA62" s="53" t="str">
        <f t="shared" ref="AA62" si="665">IF(Q62=0,"0",F62/Q62)</f>
        <v>0</v>
      </c>
      <c r="AB62" s="53" t="str">
        <f t="shared" ref="AB62" si="666">IF(Q62=0,"0",G62/Q62)</f>
        <v>0</v>
      </c>
      <c r="AC62" s="54" t="str">
        <f t="shared" ref="AC62" si="667">IF(Z62="0","0",O62/Z62)</f>
        <v>0</v>
      </c>
      <c r="AD62" s="54" t="str">
        <f t="shared" ref="AD62" si="668">IF(AA62="0","0",N62/AA62)</f>
        <v>0</v>
      </c>
      <c r="AE62" s="54" t="str">
        <f t="shared" ref="AE62" si="669">IF(AB62="0","0",O62/AB62)</f>
        <v>0</v>
      </c>
      <c r="AF62" s="55">
        <f t="shared" ref="AF62" si="670">IF(R62=0,"0",E62/R62)</f>
        <v>39.24</v>
      </c>
      <c r="AG62" s="55">
        <f t="shared" ref="AG62" si="671">IF(R62=0,"0",F62/R62)</f>
        <v>19.62</v>
      </c>
      <c r="AH62" s="55">
        <f t="shared" ref="AH62" si="672">IF(R62=0,"0",G62/R62)</f>
        <v>14.715</v>
      </c>
      <c r="AI62" s="56">
        <f t="shared" ref="AI62" si="673">IF(AF62="0","0",O62/AF62)</f>
        <v>145.92456676860346</v>
      </c>
      <c r="AJ62" s="56">
        <f t="shared" ref="AJ62" si="674">IF(AG62="0","0",O62/AG62)</f>
        <v>291.84913353720691</v>
      </c>
      <c r="AK62" s="56">
        <f t="shared" ref="AK62" si="675">IF(AH62="0","0",N62/AH62)</f>
        <v>778.2643560992185</v>
      </c>
      <c r="AL62" s="57">
        <f t="shared" ref="AL62" si="676">T62+Z62+AF62</f>
        <v>39.24</v>
      </c>
      <c r="AM62" s="57">
        <f t="shared" ref="AM62" si="677">U62+AA62+AG62</f>
        <v>19.62</v>
      </c>
      <c r="AN62" s="57">
        <f t="shared" ref="AN62" si="678">V62+AB62+AH62</f>
        <v>14.715</v>
      </c>
      <c r="AO62" s="6" t="str">
        <f t="shared" ref="AO62" si="679">IF(I62="Strap","Tensile",IF(P62&gt;0,"Tensile","Shear"))</f>
        <v>Shear</v>
      </c>
      <c r="AP62" s="6" t="str">
        <f t="shared" ref="AP62" si="680">IF(I62="Strap","Tensile",IF(Q62&gt;0,"Tensile","Shear"))</f>
        <v>Shear</v>
      </c>
      <c r="AQ62" s="6" t="str">
        <f t="shared" ref="AQ62" si="681">IF(I62="Strap","Tensile",IF(R62&gt;0,"Tensile","Shear"))</f>
        <v>Tensile</v>
      </c>
      <c r="AR62" s="58">
        <f t="shared" ref="AR62" si="682">W62+AC62+AI62</f>
        <v>145.92456676860346</v>
      </c>
      <c r="AS62" s="58">
        <f t="shared" ref="AS62" si="683">X62+AD62+AJ62</f>
        <v>291.84913353720691</v>
      </c>
      <c r="AT62" s="58">
        <f t="shared" ref="AT62" si="684">Y62+AE62+AK62</f>
        <v>778.2643560992185</v>
      </c>
    </row>
    <row r="63" spans="2:46" x14ac:dyDescent="0.25">
      <c r="B63" s="36">
        <v>54</v>
      </c>
      <c r="C63" s="130" t="s">
        <v>127</v>
      </c>
      <c r="D63" s="101">
        <v>1.6</v>
      </c>
      <c r="E63" s="78">
        <f t="shared" ref="E63:E68" si="685">D63*$D$3*$D$4</f>
        <v>62.784000000000006</v>
      </c>
      <c r="F63" s="78">
        <f t="shared" ref="F63:F68" si="686">D63*$D$3*$D$5</f>
        <v>31.392000000000003</v>
      </c>
      <c r="G63" s="78">
        <f t="shared" ref="G63:G68" si="687">D63*$D$3*$D$6</f>
        <v>23.544000000000004</v>
      </c>
      <c r="H63" s="36"/>
      <c r="I63" s="36">
        <v>8.8000000000000007</v>
      </c>
      <c r="J63" s="37" t="s">
        <v>37</v>
      </c>
      <c r="K63" s="49">
        <f>VLOOKUP(J63,'Fastener Data'!$E$3:$G$29,2,FALSE)</f>
        <v>17.893999999999998</v>
      </c>
      <c r="L63" s="26">
        <f>VLOOKUP(I63,'Fastener Data'!$B$3:$C$18,2,FALSE)</f>
        <v>640</v>
      </c>
      <c r="M63" s="26">
        <f t="shared" si="141"/>
        <v>320</v>
      </c>
      <c r="N63" s="50">
        <f t="shared" si="142"/>
        <v>11452.16</v>
      </c>
      <c r="O63" s="50">
        <f t="shared" si="143"/>
        <v>5726.08</v>
      </c>
      <c r="P63" s="38">
        <v>0</v>
      </c>
      <c r="Q63" s="38">
        <v>4</v>
      </c>
      <c r="R63" s="38">
        <v>0</v>
      </c>
      <c r="S63" s="100">
        <f t="shared" si="6"/>
        <v>4</v>
      </c>
      <c r="T63" s="51" t="str">
        <f t="shared" si="48"/>
        <v>0</v>
      </c>
      <c r="U63" s="51" t="str">
        <f t="shared" si="49"/>
        <v>0</v>
      </c>
      <c r="V63" s="51" t="str">
        <f t="shared" si="50"/>
        <v>0</v>
      </c>
      <c r="W63" s="52" t="str">
        <f t="shared" si="51"/>
        <v>0</v>
      </c>
      <c r="X63" s="52" t="str">
        <f t="shared" si="52"/>
        <v>0</v>
      </c>
      <c r="Y63" s="52" t="str">
        <f t="shared" si="53"/>
        <v>0</v>
      </c>
      <c r="Z63" s="53">
        <f t="shared" si="54"/>
        <v>15.696000000000002</v>
      </c>
      <c r="AA63" s="53">
        <f t="shared" si="55"/>
        <v>7.8480000000000008</v>
      </c>
      <c r="AB63" s="53">
        <f t="shared" si="56"/>
        <v>5.886000000000001</v>
      </c>
      <c r="AC63" s="54">
        <f t="shared" si="57"/>
        <v>364.81141692150862</v>
      </c>
      <c r="AD63" s="54">
        <f t="shared" si="58"/>
        <v>1459.2456676860345</v>
      </c>
      <c r="AE63" s="54">
        <f t="shared" si="59"/>
        <v>972.83044512402296</v>
      </c>
      <c r="AF63" s="55" t="str">
        <f t="shared" si="60"/>
        <v>0</v>
      </c>
      <c r="AG63" s="55" t="str">
        <f t="shared" si="61"/>
        <v>0</v>
      </c>
      <c r="AH63" s="55" t="str">
        <f t="shared" si="62"/>
        <v>0</v>
      </c>
      <c r="AI63" s="56" t="str">
        <f t="shared" si="63"/>
        <v>0</v>
      </c>
      <c r="AJ63" s="56" t="str">
        <f t="shared" si="64"/>
        <v>0</v>
      </c>
      <c r="AK63" s="56" t="str">
        <f t="shared" si="65"/>
        <v>0</v>
      </c>
      <c r="AL63" s="57">
        <f t="shared" si="66"/>
        <v>15.696000000000002</v>
      </c>
      <c r="AM63" s="57">
        <f t="shared" si="67"/>
        <v>7.8480000000000008</v>
      </c>
      <c r="AN63" s="57">
        <f t="shared" si="68"/>
        <v>5.886000000000001</v>
      </c>
      <c r="AO63" s="6" t="str">
        <f t="shared" si="69"/>
        <v>Shear</v>
      </c>
      <c r="AP63" s="6" t="str">
        <f t="shared" si="70"/>
        <v>Tensile</v>
      </c>
      <c r="AQ63" s="6" t="str">
        <f t="shared" si="71"/>
        <v>Shear</v>
      </c>
      <c r="AR63" s="58">
        <f t="shared" si="72"/>
        <v>364.81141692150862</v>
      </c>
      <c r="AS63" s="58">
        <f t="shared" si="73"/>
        <v>1459.2456676860345</v>
      </c>
      <c r="AT63" s="58">
        <f t="shared" si="74"/>
        <v>972.83044512402296</v>
      </c>
    </row>
    <row r="64" spans="2:46" x14ac:dyDescent="0.25">
      <c r="B64" s="36">
        <v>55</v>
      </c>
      <c r="C64" s="64" t="s">
        <v>126</v>
      </c>
      <c r="D64" s="101">
        <v>5</v>
      </c>
      <c r="E64" s="78">
        <f t="shared" si="685"/>
        <v>196.20000000000002</v>
      </c>
      <c r="F64" s="78">
        <f t="shared" si="686"/>
        <v>98.100000000000009</v>
      </c>
      <c r="G64" s="78">
        <f t="shared" si="687"/>
        <v>73.575000000000003</v>
      </c>
      <c r="H64" s="36"/>
      <c r="I64" s="36">
        <v>8.8000000000000007</v>
      </c>
      <c r="J64" s="37" t="s">
        <v>37</v>
      </c>
      <c r="K64" s="49">
        <f>VLOOKUP(J64,'Fastener Data'!$E$3:$G$29,2,FALSE)</f>
        <v>17.893999999999998</v>
      </c>
      <c r="L64" s="26">
        <f>VLOOKUP(I64,'Fastener Data'!$B$3:$C$18,2,FALSE)</f>
        <v>640</v>
      </c>
      <c r="M64" s="26">
        <f t="shared" si="141"/>
        <v>320</v>
      </c>
      <c r="N64" s="50">
        <f t="shared" si="142"/>
        <v>11452.16</v>
      </c>
      <c r="O64" s="50">
        <f t="shared" si="143"/>
        <v>5726.08</v>
      </c>
      <c r="P64" s="38">
        <v>0</v>
      </c>
      <c r="Q64" s="38">
        <v>0</v>
      </c>
      <c r="R64" s="38">
        <v>8</v>
      </c>
      <c r="S64" s="100">
        <f t="shared" si="6"/>
        <v>8</v>
      </c>
      <c r="T64" s="51" t="str">
        <f t="shared" si="48"/>
        <v>0</v>
      </c>
      <c r="U64" s="51" t="str">
        <f t="shared" si="49"/>
        <v>0</v>
      </c>
      <c r="V64" s="51" t="str">
        <f t="shared" si="50"/>
        <v>0</v>
      </c>
      <c r="W64" s="52" t="str">
        <f t="shared" si="51"/>
        <v>0</v>
      </c>
      <c r="X64" s="52" t="str">
        <f t="shared" si="52"/>
        <v>0</v>
      </c>
      <c r="Y64" s="52" t="str">
        <f t="shared" si="53"/>
        <v>0</v>
      </c>
      <c r="Z64" s="53" t="str">
        <f t="shared" si="54"/>
        <v>0</v>
      </c>
      <c r="AA64" s="53" t="str">
        <f t="shared" si="55"/>
        <v>0</v>
      </c>
      <c r="AB64" s="53" t="str">
        <f t="shared" si="56"/>
        <v>0</v>
      </c>
      <c r="AC64" s="54" t="str">
        <f t="shared" si="57"/>
        <v>0</v>
      </c>
      <c r="AD64" s="54" t="str">
        <f t="shared" si="58"/>
        <v>0</v>
      </c>
      <c r="AE64" s="54" t="str">
        <f t="shared" si="59"/>
        <v>0</v>
      </c>
      <c r="AF64" s="55">
        <f t="shared" si="60"/>
        <v>24.525000000000002</v>
      </c>
      <c r="AG64" s="55">
        <f t="shared" si="61"/>
        <v>12.262500000000001</v>
      </c>
      <c r="AH64" s="55">
        <f t="shared" si="62"/>
        <v>9.1968750000000004</v>
      </c>
      <c r="AI64" s="56">
        <f t="shared" si="63"/>
        <v>233.47930682976553</v>
      </c>
      <c r="AJ64" s="56">
        <f t="shared" si="64"/>
        <v>466.95861365953107</v>
      </c>
      <c r="AK64" s="56">
        <f t="shared" si="65"/>
        <v>1245.2229697587495</v>
      </c>
      <c r="AL64" s="57">
        <f t="shared" si="66"/>
        <v>24.525000000000002</v>
      </c>
      <c r="AM64" s="57">
        <f t="shared" si="67"/>
        <v>12.262500000000001</v>
      </c>
      <c r="AN64" s="57">
        <f t="shared" si="68"/>
        <v>9.1968750000000004</v>
      </c>
      <c r="AO64" s="6" t="str">
        <f t="shared" si="69"/>
        <v>Shear</v>
      </c>
      <c r="AP64" s="6" t="str">
        <f t="shared" si="70"/>
        <v>Shear</v>
      </c>
      <c r="AQ64" s="6" t="str">
        <f t="shared" si="71"/>
        <v>Tensile</v>
      </c>
      <c r="AR64" s="58">
        <f t="shared" si="72"/>
        <v>233.47930682976553</v>
      </c>
      <c r="AS64" s="58">
        <f t="shared" si="73"/>
        <v>466.95861365953107</v>
      </c>
      <c r="AT64" s="58">
        <f t="shared" si="74"/>
        <v>1245.2229697587495</v>
      </c>
    </row>
    <row r="65" spans="2:46" ht="30" x14ac:dyDescent="0.25">
      <c r="B65" s="36">
        <v>56</v>
      </c>
      <c r="C65" s="35" t="s">
        <v>143</v>
      </c>
      <c r="D65" s="39">
        <v>25</v>
      </c>
      <c r="E65" s="78">
        <f t="shared" si="685"/>
        <v>981</v>
      </c>
      <c r="F65" s="78">
        <f t="shared" si="686"/>
        <v>490.5</v>
      </c>
      <c r="G65" s="78">
        <f t="shared" si="687"/>
        <v>367.875</v>
      </c>
      <c r="H65" s="36"/>
      <c r="I65" s="37" t="s">
        <v>104</v>
      </c>
      <c r="J65" s="37" t="s">
        <v>104</v>
      </c>
      <c r="K65" s="49">
        <f>VLOOKUP(J65,'Fastener Data'!$E$3:$G$29,2,FALSE)</f>
        <v>1</v>
      </c>
      <c r="L65" s="26">
        <f>VLOOKUP(I65,'Fastener Data'!$B$3:$C$18,2,FALSE)</f>
        <v>2500</v>
      </c>
      <c r="M65" s="26">
        <f>L65</f>
        <v>2500</v>
      </c>
      <c r="N65" s="50">
        <f t="shared" ref="N65:N68" si="688">K65*L65</f>
        <v>2500</v>
      </c>
      <c r="O65" s="50">
        <f t="shared" ref="O65:O68" si="689">K65*M65</f>
        <v>2500</v>
      </c>
      <c r="P65" s="38">
        <v>0</v>
      </c>
      <c r="Q65" s="38">
        <v>2</v>
      </c>
      <c r="R65" s="38">
        <v>0</v>
      </c>
      <c r="S65" s="100">
        <f t="shared" ref="S65:S68" si="690">SUM(P65:R65)</f>
        <v>2</v>
      </c>
      <c r="T65" s="51" t="str">
        <f t="shared" ref="T65:T68" si="691">IF(P65=0,"0",E65/P65)</f>
        <v>0</v>
      </c>
      <c r="U65" s="51" t="str">
        <f t="shared" ref="U65:U68" si="692">IF(P65=0,"0",F65/P65)</f>
        <v>0</v>
      </c>
      <c r="V65" s="51" t="str">
        <f t="shared" ref="V65:V68" si="693">IF(P65=0,"0",G65/P65)</f>
        <v>0</v>
      </c>
      <c r="W65" s="52" t="str">
        <f t="shared" ref="W65:W68" si="694">IF(T65="0","0",N65/T65)</f>
        <v>0</v>
      </c>
      <c r="X65" s="52" t="str">
        <f t="shared" ref="X65:X68" si="695">IF(U65="0","0",O65/U65)</f>
        <v>0</v>
      </c>
      <c r="Y65" s="52" t="str">
        <f t="shared" ref="Y65:Y68" si="696">IF(V65="0","0",O65/V65)</f>
        <v>0</v>
      </c>
      <c r="Z65" s="53">
        <f t="shared" ref="Z65:Z68" si="697">IF(Q65=0,"0",E65/Q65)</f>
        <v>490.5</v>
      </c>
      <c r="AA65" s="53">
        <f t="shared" ref="AA65:AA68" si="698">IF(Q65=0,"0",F65/Q65)</f>
        <v>245.25</v>
      </c>
      <c r="AB65" s="53">
        <f t="shared" ref="AB65:AB68" si="699">IF(Q65=0,"0",G65/Q65)</f>
        <v>183.9375</v>
      </c>
      <c r="AC65" s="54">
        <f t="shared" ref="AC65:AC68" si="700">IF(Z65="0","0",O65/Z65)</f>
        <v>5.0968399592252807</v>
      </c>
      <c r="AD65" s="54">
        <f t="shared" ref="AD65:AD68" si="701">IF(AA65="0","0",N65/AA65)</f>
        <v>10.193679918450561</v>
      </c>
      <c r="AE65" s="54">
        <f t="shared" ref="AE65:AE68" si="702">IF(AB65="0","0",O65/AB65)</f>
        <v>13.591573224600747</v>
      </c>
      <c r="AF65" s="55" t="str">
        <f t="shared" ref="AF65:AF68" si="703">IF(R65=0,"0",E65/R65)</f>
        <v>0</v>
      </c>
      <c r="AG65" s="55" t="str">
        <f t="shared" ref="AG65:AG68" si="704">IF(R65=0,"0",F65/R65)</f>
        <v>0</v>
      </c>
      <c r="AH65" s="55" t="str">
        <f t="shared" ref="AH65:AH68" si="705">IF(R65=0,"0",G65/R65)</f>
        <v>0</v>
      </c>
      <c r="AI65" s="56" t="str">
        <f t="shared" ref="AI65:AI68" si="706">IF(AF65="0","0",O65/AF65)</f>
        <v>0</v>
      </c>
      <c r="AJ65" s="56" t="str">
        <f t="shared" ref="AJ65:AJ68" si="707">IF(AG65="0","0",O65/AG65)</f>
        <v>0</v>
      </c>
      <c r="AK65" s="56" t="str">
        <f t="shared" ref="AK65:AK68" si="708">IF(AH65="0","0",N65/AH65)</f>
        <v>0</v>
      </c>
      <c r="AL65" s="57">
        <f t="shared" ref="AL65:AL68" si="709">T65+Z65+AF65</f>
        <v>490.5</v>
      </c>
      <c r="AM65" s="57">
        <f t="shared" ref="AM65:AM68" si="710">U65+AA65+AG65</f>
        <v>245.25</v>
      </c>
      <c r="AN65" s="57">
        <f t="shared" ref="AN65:AN68" si="711">V65+AB65+AH65</f>
        <v>183.9375</v>
      </c>
      <c r="AO65" s="6" t="str">
        <f t="shared" ref="AO65:AO68" si="712">IF(I65="Strap","Tensile",IF(P65&gt;0,"Tensile","Shear"))</f>
        <v>Shear</v>
      </c>
      <c r="AP65" s="6" t="str">
        <f t="shared" ref="AP65:AP68" si="713">IF(I65="Strap","Tensile",IF(Q65&gt;0,"Tensile","Shear"))</f>
        <v>Tensile</v>
      </c>
      <c r="AQ65" s="6" t="str">
        <f t="shared" ref="AQ65:AQ68" si="714">IF(I65="Strap","Tensile",IF(R65&gt;0,"Tensile","Shear"))</f>
        <v>Shear</v>
      </c>
      <c r="AR65" s="58">
        <f t="shared" ref="AR65:AR68" si="715">W65+AC65+AI65</f>
        <v>5.0968399592252807</v>
      </c>
      <c r="AS65" s="58">
        <f t="shared" ref="AS65:AS68" si="716">X65+AD65+AJ65</f>
        <v>10.193679918450561</v>
      </c>
      <c r="AT65" s="58">
        <f t="shared" ref="AT65:AT68" si="717">Y65+AE65+AK65</f>
        <v>13.591573224600747</v>
      </c>
    </row>
    <row r="66" spans="2:46" s="30" customFormat="1" ht="30" x14ac:dyDescent="0.25">
      <c r="B66" s="36">
        <v>57</v>
      </c>
      <c r="C66" s="113" t="s">
        <v>170</v>
      </c>
      <c r="D66" s="41">
        <v>5</v>
      </c>
      <c r="E66" s="78">
        <f t="shared" si="685"/>
        <v>196.20000000000002</v>
      </c>
      <c r="F66" s="78">
        <f t="shared" si="686"/>
        <v>98.100000000000009</v>
      </c>
      <c r="G66" s="78">
        <f t="shared" si="687"/>
        <v>73.575000000000003</v>
      </c>
      <c r="H66" s="36"/>
      <c r="I66" s="36">
        <v>8.8000000000000007</v>
      </c>
      <c r="J66" s="37" t="s">
        <v>38</v>
      </c>
      <c r="K66" s="49">
        <f>VLOOKUP(J66,'Fastener Data'!$E$3:$G$29,2,FALSE)</f>
        <v>32.841000000000001</v>
      </c>
      <c r="L66" s="26">
        <f>VLOOKUP(I66,'Fastener Data'!$B$3:$C$18,2,FALSE)</f>
        <v>640</v>
      </c>
      <c r="M66" s="26">
        <f t="shared" ref="M66" si="718">L66*0.5</f>
        <v>320</v>
      </c>
      <c r="N66" s="50">
        <f t="shared" si="688"/>
        <v>21018.240000000002</v>
      </c>
      <c r="O66" s="50">
        <f t="shared" si="689"/>
        <v>10509.12</v>
      </c>
      <c r="P66" s="43">
        <v>2</v>
      </c>
      <c r="Q66" s="43">
        <v>0</v>
      </c>
      <c r="R66" s="43">
        <v>0</v>
      </c>
      <c r="S66" s="100">
        <f t="shared" ref="S66" si="719">SUM(P66:R66)</f>
        <v>2</v>
      </c>
      <c r="T66" s="51">
        <f t="shared" si="691"/>
        <v>98.100000000000009</v>
      </c>
      <c r="U66" s="51">
        <f t="shared" si="692"/>
        <v>49.050000000000004</v>
      </c>
      <c r="V66" s="51">
        <f t="shared" si="693"/>
        <v>36.787500000000001</v>
      </c>
      <c r="W66" s="52">
        <f t="shared" si="694"/>
        <v>214.25321100917432</v>
      </c>
      <c r="X66" s="52">
        <f t="shared" si="695"/>
        <v>214.25321100917432</v>
      </c>
      <c r="Y66" s="52">
        <f t="shared" si="696"/>
        <v>285.67094801223243</v>
      </c>
      <c r="Z66" s="53" t="str">
        <f t="shared" si="697"/>
        <v>0</v>
      </c>
      <c r="AA66" s="53" t="str">
        <f t="shared" si="698"/>
        <v>0</v>
      </c>
      <c r="AB66" s="53" t="str">
        <f t="shared" si="699"/>
        <v>0</v>
      </c>
      <c r="AC66" s="54" t="str">
        <f t="shared" si="700"/>
        <v>0</v>
      </c>
      <c r="AD66" s="54" t="str">
        <f t="shared" si="701"/>
        <v>0</v>
      </c>
      <c r="AE66" s="54" t="str">
        <f t="shared" si="702"/>
        <v>0</v>
      </c>
      <c r="AF66" s="55" t="str">
        <f t="shared" si="703"/>
        <v>0</v>
      </c>
      <c r="AG66" s="55" t="str">
        <f t="shared" si="704"/>
        <v>0</v>
      </c>
      <c r="AH66" s="55" t="str">
        <f t="shared" si="705"/>
        <v>0</v>
      </c>
      <c r="AI66" s="56" t="str">
        <f t="shared" si="706"/>
        <v>0</v>
      </c>
      <c r="AJ66" s="56" t="str">
        <f t="shared" si="707"/>
        <v>0</v>
      </c>
      <c r="AK66" s="56" t="str">
        <f t="shared" si="708"/>
        <v>0</v>
      </c>
      <c r="AL66" s="57">
        <f t="shared" si="709"/>
        <v>98.100000000000009</v>
      </c>
      <c r="AM66" s="57">
        <f t="shared" si="710"/>
        <v>49.050000000000004</v>
      </c>
      <c r="AN66" s="57">
        <f t="shared" si="711"/>
        <v>36.787500000000001</v>
      </c>
      <c r="AO66" s="6" t="str">
        <f t="shared" si="712"/>
        <v>Tensile</v>
      </c>
      <c r="AP66" s="6" t="str">
        <f t="shared" si="713"/>
        <v>Shear</v>
      </c>
      <c r="AQ66" s="6" t="str">
        <f t="shared" si="714"/>
        <v>Shear</v>
      </c>
      <c r="AR66" s="58">
        <f t="shared" si="715"/>
        <v>214.25321100917432</v>
      </c>
      <c r="AS66" s="58">
        <f t="shared" si="716"/>
        <v>214.25321100917432</v>
      </c>
      <c r="AT66" s="58">
        <f t="shared" si="717"/>
        <v>285.67094801223243</v>
      </c>
    </row>
    <row r="67" spans="2:46" s="30" customFormat="1" ht="30" x14ac:dyDescent="0.25">
      <c r="B67" s="36">
        <v>58</v>
      </c>
      <c r="C67" s="113" t="s">
        <v>171</v>
      </c>
      <c r="D67" s="41">
        <v>6</v>
      </c>
      <c r="E67" s="78">
        <f t="shared" ref="E67" si="720">D67*$D$3*$D$4</f>
        <v>235.44</v>
      </c>
      <c r="F67" s="78">
        <f t="shared" ref="F67" si="721">D67*$D$3*$D$5</f>
        <v>117.72</v>
      </c>
      <c r="G67" s="78">
        <f t="shared" ref="G67" si="722">D67*$D$3*$D$6</f>
        <v>88.289999999999992</v>
      </c>
      <c r="H67" s="36"/>
      <c r="I67" s="36" t="s">
        <v>108</v>
      </c>
      <c r="J67" s="37" t="s">
        <v>108</v>
      </c>
      <c r="K67" s="49">
        <f>VLOOKUP(J67,'Fastener Data'!$E$3:$G$29,2,FALSE)</f>
        <v>113.09733552923255</v>
      </c>
      <c r="L67" s="26">
        <f>VLOOKUP(I67,'Fastener Data'!$B$3:$C$18,2,FALSE)</f>
        <v>165</v>
      </c>
      <c r="M67" s="26">
        <f t="shared" ref="M67" si="723">L67*0.5</f>
        <v>82.5</v>
      </c>
      <c r="N67" s="50">
        <f t="shared" ref="N67" si="724">K67*L67</f>
        <v>18661.060362323373</v>
      </c>
      <c r="O67" s="50">
        <f t="shared" ref="O67" si="725">K67*M67</f>
        <v>9330.5301811616864</v>
      </c>
      <c r="P67" s="43">
        <v>0</v>
      </c>
      <c r="Q67" s="43">
        <v>0</v>
      </c>
      <c r="R67" s="43">
        <v>2</v>
      </c>
      <c r="S67" s="100">
        <f t="shared" ref="S67" si="726">SUM(P67:R67)</f>
        <v>2</v>
      </c>
      <c r="T67" s="51" t="str">
        <f t="shared" ref="T67" si="727">IF(P67=0,"0",E67/P67)</f>
        <v>0</v>
      </c>
      <c r="U67" s="51" t="str">
        <f t="shared" ref="U67" si="728">IF(P67=0,"0",F67/P67)</f>
        <v>0</v>
      </c>
      <c r="V67" s="51" t="str">
        <f t="shared" ref="V67" si="729">IF(P67=0,"0",G67/P67)</f>
        <v>0</v>
      </c>
      <c r="W67" s="52" t="str">
        <f t="shared" ref="W67" si="730">IF(T67="0","0",N67/T67)</f>
        <v>0</v>
      </c>
      <c r="X67" s="52" t="str">
        <f t="shared" ref="X67" si="731">IF(U67="0","0",O67/U67)</f>
        <v>0</v>
      </c>
      <c r="Y67" s="52" t="str">
        <f t="shared" ref="Y67" si="732">IF(V67="0","0",O67/V67)</f>
        <v>0</v>
      </c>
      <c r="Z67" s="53" t="str">
        <f t="shared" ref="Z67" si="733">IF(Q67=0,"0",E67/Q67)</f>
        <v>0</v>
      </c>
      <c r="AA67" s="53" t="str">
        <f t="shared" ref="AA67" si="734">IF(Q67=0,"0",F67/Q67)</f>
        <v>0</v>
      </c>
      <c r="AB67" s="53" t="str">
        <f t="shared" ref="AB67" si="735">IF(Q67=0,"0",G67/Q67)</f>
        <v>0</v>
      </c>
      <c r="AC67" s="54" t="str">
        <f t="shared" ref="AC67" si="736">IF(Z67="0","0",O67/Z67)</f>
        <v>0</v>
      </c>
      <c r="AD67" s="54" t="str">
        <f t="shared" ref="AD67" si="737">IF(AA67="0","0",N67/AA67)</f>
        <v>0</v>
      </c>
      <c r="AE67" s="54" t="str">
        <f t="shared" ref="AE67" si="738">IF(AB67="0","0",O67/AB67)</f>
        <v>0</v>
      </c>
      <c r="AF67" s="55">
        <f t="shared" ref="AF67" si="739">IF(R67=0,"0",E67/R67)</f>
        <v>117.72</v>
      </c>
      <c r="AG67" s="55">
        <f t="shared" ref="AG67" si="740">IF(R67=0,"0",F67/R67)</f>
        <v>58.86</v>
      </c>
      <c r="AH67" s="55">
        <f t="shared" ref="AH67" si="741">IF(R67=0,"0",G67/R67)</f>
        <v>44.144999999999996</v>
      </c>
      <c r="AI67" s="56">
        <f t="shared" ref="AI67" si="742">IF(AF67="0","0",O67/AF67)</f>
        <v>79.260365113503966</v>
      </c>
      <c r="AJ67" s="56">
        <f t="shared" ref="AJ67" si="743">IF(AG67="0","0",O67/AG67)</f>
        <v>158.52073022700793</v>
      </c>
      <c r="AK67" s="56">
        <f t="shared" ref="AK67" si="744">IF(AH67="0","0",N67/AH67)</f>
        <v>422.72194727202117</v>
      </c>
      <c r="AL67" s="57">
        <f t="shared" ref="AL67" si="745">T67+Z67+AF67</f>
        <v>117.72</v>
      </c>
      <c r="AM67" s="57">
        <f t="shared" ref="AM67" si="746">U67+AA67+AG67</f>
        <v>58.86</v>
      </c>
      <c r="AN67" s="57">
        <f t="shared" ref="AN67" si="747">V67+AB67+AH67</f>
        <v>44.144999999999996</v>
      </c>
      <c r="AO67" s="6" t="str">
        <f t="shared" ref="AO67" si="748">IF(I67="Strap","Tensile",IF(P67&gt;0,"Tensile","Shear"))</f>
        <v>Shear</v>
      </c>
      <c r="AP67" s="6" t="str">
        <f t="shared" ref="AP67" si="749">IF(I67="Strap","Tensile",IF(Q67&gt;0,"Tensile","Shear"))</f>
        <v>Shear</v>
      </c>
      <c r="AQ67" s="6" t="str">
        <f t="shared" ref="AQ67" si="750">IF(I67="Strap","Tensile",IF(R67&gt;0,"Tensile","Shear"))</f>
        <v>Tensile</v>
      </c>
      <c r="AR67" s="58">
        <f t="shared" ref="AR67" si="751">W67+AC67+AI67</f>
        <v>79.260365113503966</v>
      </c>
      <c r="AS67" s="58">
        <f t="shared" ref="AS67" si="752">X67+AD67+AJ67</f>
        <v>158.52073022700793</v>
      </c>
      <c r="AT67" s="58">
        <f t="shared" ref="AT67" si="753">Y67+AE67+AK67</f>
        <v>422.72194727202117</v>
      </c>
    </row>
    <row r="68" spans="2:46" x14ac:dyDescent="0.25">
      <c r="B68" s="36">
        <v>59</v>
      </c>
      <c r="C68" s="35" t="s">
        <v>116</v>
      </c>
      <c r="D68" s="39">
        <v>6</v>
      </c>
      <c r="E68" s="78">
        <f t="shared" si="685"/>
        <v>235.44</v>
      </c>
      <c r="F68" s="78">
        <f t="shared" si="686"/>
        <v>117.72</v>
      </c>
      <c r="G68" s="78">
        <f t="shared" si="687"/>
        <v>88.289999999999992</v>
      </c>
      <c r="H68" s="36"/>
      <c r="I68" s="36">
        <v>8.8000000000000007</v>
      </c>
      <c r="J68" s="37" t="s">
        <v>39</v>
      </c>
      <c r="K68" s="49">
        <f>VLOOKUP(J68,'Fastener Data'!$E$3:$G$29,2,FALSE)</f>
        <v>76.247</v>
      </c>
      <c r="L68" s="26">
        <f>VLOOKUP(I68,'Fastener Data'!$B$3:$C$18,2,FALSE)</f>
        <v>640</v>
      </c>
      <c r="M68" s="26">
        <f t="shared" ref="M68" si="754">L68*0.5</f>
        <v>320</v>
      </c>
      <c r="N68" s="50">
        <f t="shared" si="688"/>
        <v>48798.080000000002</v>
      </c>
      <c r="O68" s="50">
        <f t="shared" si="689"/>
        <v>24399.040000000001</v>
      </c>
      <c r="P68" s="38">
        <v>0</v>
      </c>
      <c r="Q68" s="38">
        <v>8</v>
      </c>
      <c r="R68" s="38">
        <v>0</v>
      </c>
      <c r="S68" s="100">
        <f t="shared" si="690"/>
        <v>8</v>
      </c>
      <c r="T68" s="51" t="str">
        <f t="shared" si="691"/>
        <v>0</v>
      </c>
      <c r="U68" s="51" t="str">
        <f t="shared" si="692"/>
        <v>0</v>
      </c>
      <c r="V68" s="51" t="str">
        <f t="shared" si="693"/>
        <v>0</v>
      </c>
      <c r="W68" s="52" t="str">
        <f t="shared" si="694"/>
        <v>0</v>
      </c>
      <c r="X68" s="52" t="str">
        <f t="shared" si="695"/>
        <v>0</v>
      </c>
      <c r="Y68" s="52" t="str">
        <f t="shared" si="696"/>
        <v>0</v>
      </c>
      <c r="Z68" s="53">
        <f t="shared" si="697"/>
        <v>29.43</v>
      </c>
      <c r="AA68" s="53">
        <f t="shared" si="698"/>
        <v>14.715</v>
      </c>
      <c r="AB68" s="53">
        <f t="shared" si="699"/>
        <v>11.036249999999999</v>
      </c>
      <c r="AC68" s="54">
        <f t="shared" si="700"/>
        <v>829.05334692490658</v>
      </c>
      <c r="AD68" s="54">
        <f t="shared" si="701"/>
        <v>3316.2133876996263</v>
      </c>
      <c r="AE68" s="54">
        <f t="shared" si="702"/>
        <v>2210.8089251330844</v>
      </c>
      <c r="AF68" s="55" t="str">
        <f t="shared" si="703"/>
        <v>0</v>
      </c>
      <c r="AG68" s="55" t="str">
        <f t="shared" si="704"/>
        <v>0</v>
      </c>
      <c r="AH68" s="55" t="str">
        <f t="shared" si="705"/>
        <v>0</v>
      </c>
      <c r="AI68" s="56" t="str">
        <f t="shared" si="706"/>
        <v>0</v>
      </c>
      <c r="AJ68" s="56" t="str">
        <f t="shared" si="707"/>
        <v>0</v>
      </c>
      <c r="AK68" s="56" t="str">
        <f t="shared" si="708"/>
        <v>0</v>
      </c>
      <c r="AL68" s="57">
        <f t="shared" si="709"/>
        <v>29.43</v>
      </c>
      <c r="AM68" s="57">
        <f t="shared" si="710"/>
        <v>14.715</v>
      </c>
      <c r="AN68" s="57">
        <f t="shared" si="711"/>
        <v>11.036249999999999</v>
      </c>
      <c r="AO68" s="6" t="str">
        <f t="shared" si="712"/>
        <v>Shear</v>
      </c>
      <c r="AP68" s="6" t="str">
        <f t="shared" si="713"/>
        <v>Tensile</v>
      </c>
      <c r="AQ68" s="6" t="str">
        <f t="shared" si="714"/>
        <v>Shear</v>
      </c>
      <c r="AR68" s="58">
        <f t="shared" si="715"/>
        <v>829.05334692490658</v>
      </c>
      <c r="AS68" s="58">
        <f t="shared" si="716"/>
        <v>3316.2133876996263</v>
      </c>
      <c r="AT68" s="58">
        <f t="shared" si="717"/>
        <v>2210.8089251330844</v>
      </c>
    </row>
    <row r="69" spans="2:46" x14ac:dyDescent="0.25">
      <c r="D69" s="25"/>
    </row>
    <row r="70" spans="2:46" x14ac:dyDescent="0.25">
      <c r="D70" s="25"/>
    </row>
  </sheetData>
  <dataConsolidate/>
  <mergeCells count="12">
    <mergeCell ref="C1:E1"/>
    <mergeCell ref="T8:V8"/>
    <mergeCell ref="W8:Y8"/>
    <mergeCell ref="Z8:AB8"/>
    <mergeCell ref="B8:O8"/>
    <mergeCell ref="AC8:AE8"/>
    <mergeCell ref="P8:S8"/>
    <mergeCell ref="AL8:AN8"/>
    <mergeCell ref="AR8:AT8"/>
    <mergeCell ref="AO8:AQ8"/>
    <mergeCell ref="AF8:AH8"/>
    <mergeCell ref="AI8:AK8"/>
  </mergeCells>
  <pageMargins left="0" right="0" top="0" bottom="0" header="0" footer="0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workbookViewId="0">
      <selection activeCell="G26" sqref="G26"/>
    </sheetView>
  </sheetViews>
  <sheetFormatPr defaultColWidth="9.140625" defaultRowHeight="15" x14ac:dyDescent="0.25"/>
  <cols>
    <col min="1" max="1" width="2.85546875" style="93" customWidth="1"/>
    <col min="2" max="2" width="19" style="93" bestFit="1" customWidth="1"/>
    <col min="3" max="3" width="27.140625" style="93" bestFit="1" customWidth="1"/>
    <col min="4" max="4" width="2.85546875" style="93" customWidth="1"/>
    <col min="5" max="5" width="19" style="93" bestFit="1" customWidth="1"/>
    <col min="6" max="6" width="27.5703125" style="93" bestFit="1" customWidth="1"/>
    <col min="7" max="7" width="20.7109375" style="93" bestFit="1" customWidth="1"/>
    <col min="8" max="16384" width="9.140625" style="93"/>
  </cols>
  <sheetData>
    <row r="2" spans="2:7" s="8" customFormat="1" x14ac:dyDescent="0.25">
      <c r="B2" s="7" t="s">
        <v>4</v>
      </c>
      <c r="C2" s="7" t="s">
        <v>84</v>
      </c>
      <c r="E2" s="7" t="s">
        <v>35</v>
      </c>
      <c r="F2" s="7" t="s">
        <v>79</v>
      </c>
      <c r="G2" s="7" t="s">
        <v>80</v>
      </c>
    </row>
    <row r="3" spans="2:7" x14ac:dyDescent="0.25">
      <c r="B3" s="47" t="s">
        <v>82</v>
      </c>
      <c r="C3" s="44">
        <v>450</v>
      </c>
      <c r="E3" s="5" t="s">
        <v>41</v>
      </c>
      <c r="F3" s="46">
        <v>1.0762</v>
      </c>
      <c r="G3" s="48">
        <f t="shared" ref="G3:G11" si="0">2*SQRT(F3/PI())</f>
        <v>1.1705812223182048</v>
      </c>
    </row>
    <row r="4" spans="2:7" x14ac:dyDescent="0.25">
      <c r="B4" s="29">
        <v>4.5999999999999996</v>
      </c>
      <c r="C4" s="29">
        <v>240</v>
      </c>
      <c r="E4" s="5" t="s">
        <v>42</v>
      </c>
      <c r="F4" s="46">
        <v>1.7889999999999999</v>
      </c>
      <c r="G4" s="48">
        <f t="shared" si="0"/>
        <v>1.5092466814709933</v>
      </c>
    </row>
    <row r="5" spans="2:7" x14ac:dyDescent="0.25">
      <c r="B5" s="29">
        <v>4.8</v>
      </c>
      <c r="C5" s="29">
        <v>340</v>
      </c>
      <c r="E5" s="5" t="s">
        <v>43</v>
      </c>
      <c r="F5" s="46">
        <v>2.9801000000000002</v>
      </c>
      <c r="G5" s="48">
        <f t="shared" si="0"/>
        <v>1.9479171356259635</v>
      </c>
    </row>
    <row r="6" spans="2:7" x14ac:dyDescent="0.25">
      <c r="B6" s="29">
        <v>5.8</v>
      </c>
      <c r="C6" s="29">
        <v>420</v>
      </c>
      <c r="E6" s="5" t="s">
        <v>44</v>
      </c>
      <c r="F6" s="46">
        <v>4.4733999999999998</v>
      </c>
      <c r="G6" s="48">
        <f t="shared" si="0"/>
        <v>2.3865686203036938</v>
      </c>
    </row>
    <row r="7" spans="2:7" x14ac:dyDescent="0.25">
      <c r="B7" s="45">
        <v>8.8000000000000007</v>
      </c>
      <c r="C7" s="45">
        <v>640</v>
      </c>
      <c r="E7" s="5" t="s">
        <v>45</v>
      </c>
      <c r="F7" s="46">
        <v>5.9996999999999998</v>
      </c>
      <c r="G7" s="48">
        <f t="shared" si="0"/>
        <v>2.7638840960770326</v>
      </c>
    </row>
    <row r="8" spans="2:7" x14ac:dyDescent="0.25">
      <c r="B8" s="45">
        <v>9.8000000000000007</v>
      </c>
      <c r="C8" s="45">
        <v>720</v>
      </c>
      <c r="E8" s="5" t="s">
        <v>36</v>
      </c>
      <c r="F8" s="46">
        <v>7.7496</v>
      </c>
      <c r="G8" s="48">
        <f t="shared" si="0"/>
        <v>3.141193590958637</v>
      </c>
    </row>
    <row r="9" spans="2:7" x14ac:dyDescent="0.25">
      <c r="B9" s="45">
        <v>10.9</v>
      </c>
      <c r="C9" s="94">
        <v>940</v>
      </c>
      <c r="E9" s="5" t="s">
        <v>46</v>
      </c>
      <c r="F9" s="46">
        <v>12.683</v>
      </c>
      <c r="G9" s="48">
        <f t="shared" si="0"/>
        <v>4.0185192728013721</v>
      </c>
    </row>
    <row r="10" spans="2:7" x14ac:dyDescent="0.25">
      <c r="B10" s="45">
        <v>12.9</v>
      </c>
      <c r="C10" s="45">
        <v>1100</v>
      </c>
      <c r="E10" s="5" t="s">
        <v>37</v>
      </c>
      <c r="F10" s="46">
        <v>17.893999999999998</v>
      </c>
      <c r="G10" s="48">
        <f t="shared" si="0"/>
        <v>4.7731905905265295</v>
      </c>
    </row>
    <row r="11" spans="2:7" x14ac:dyDescent="0.25">
      <c r="B11" s="92" t="s">
        <v>86</v>
      </c>
      <c r="C11" s="92">
        <v>8896</v>
      </c>
      <c r="E11" s="5" t="s">
        <v>38</v>
      </c>
      <c r="F11" s="46">
        <v>32.841000000000001</v>
      </c>
      <c r="G11" s="48">
        <f t="shared" si="0"/>
        <v>6.4664101237585827</v>
      </c>
    </row>
    <row r="12" spans="2:7" x14ac:dyDescent="0.25">
      <c r="B12" s="92" t="s">
        <v>107</v>
      </c>
      <c r="C12" s="92">
        <v>250</v>
      </c>
      <c r="E12" s="5" t="s">
        <v>30</v>
      </c>
      <c r="F12" s="46">
        <v>52.292000000000002</v>
      </c>
      <c r="G12" s="48">
        <f t="shared" ref="G12" si="1">2*SQRT(F12/PI())</f>
        <v>8.1596717013180822</v>
      </c>
    </row>
    <row r="13" spans="2:7" x14ac:dyDescent="0.25">
      <c r="B13" s="92" t="s">
        <v>103</v>
      </c>
      <c r="C13" s="45">
        <v>30000</v>
      </c>
      <c r="E13" s="5" t="s">
        <v>39</v>
      </c>
      <c r="F13" s="46">
        <v>76.247</v>
      </c>
      <c r="G13" s="48">
        <f>2*SQRT(F13/PI())</f>
        <v>9.8529536468726953</v>
      </c>
    </row>
    <row r="14" spans="2:7" x14ac:dyDescent="0.25">
      <c r="B14" s="92" t="s">
        <v>102</v>
      </c>
      <c r="C14" s="45">
        <v>5000</v>
      </c>
      <c r="E14" s="5" t="s">
        <v>15</v>
      </c>
      <c r="F14" s="46">
        <v>104.71</v>
      </c>
      <c r="G14" s="48">
        <f t="shared" ref="G14" si="2">2*SQRT(F14/PI())</f>
        <v>11.546467543331982</v>
      </c>
    </row>
    <row r="15" spans="2:7" x14ac:dyDescent="0.25">
      <c r="B15" s="92" t="s">
        <v>96</v>
      </c>
      <c r="C15" s="45">
        <v>3500</v>
      </c>
      <c r="E15" s="5" t="s">
        <v>40</v>
      </c>
      <c r="F15" s="46">
        <v>144.12</v>
      </c>
      <c r="G15" s="48">
        <f t="shared" ref="G15" si="3">2*SQRT(F15/PI())</f>
        <v>13.546190726076157</v>
      </c>
    </row>
    <row r="16" spans="2:7" x14ac:dyDescent="0.25">
      <c r="B16" s="92" t="s">
        <v>108</v>
      </c>
      <c r="C16" s="45">
        <v>165</v>
      </c>
      <c r="E16" s="5" t="s">
        <v>47</v>
      </c>
      <c r="F16" s="46">
        <v>225.19</v>
      </c>
      <c r="G16" s="48">
        <f t="shared" ref="G16" si="4">2*SQRT(F16/PI())</f>
        <v>16.93283239977622</v>
      </c>
    </row>
    <row r="17" spans="2:8" x14ac:dyDescent="0.25">
      <c r="B17" s="92" t="s">
        <v>105</v>
      </c>
      <c r="C17" s="45">
        <v>18000</v>
      </c>
      <c r="E17" s="5" t="s">
        <v>48</v>
      </c>
      <c r="F17" s="46">
        <v>281.52999999999997</v>
      </c>
      <c r="G17" s="48">
        <f t="shared" ref="G17:G22" si="5">2*SQRT(F17/PI())</f>
        <v>18.932911266609008</v>
      </c>
    </row>
    <row r="18" spans="2:8" x14ac:dyDescent="0.25">
      <c r="B18" s="92" t="s">
        <v>104</v>
      </c>
      <c r="C18" s="45">
        <v>2500</v>
      </c>
      <c r="E18" s="5" t="s">
        <v>49</v>
      </c>
      <c r="F18" s="46">
        <v>324.27</v>
      </c>
      <c r="G18" s="48">
        <f t="shared" si="5"/>
        <v>20.319286089114232</v>
      </c>
    </row>
    <row r="19" spans="2:8" x14ac:dyDescent="0.25">
      <c r="B19" s="45"/>
      <c r="C19" s="45"/>
      <c r="E19" s="5" t="s">
        <v>50</v>
      </c>
      <c r="F19" s="46">
        <v>427.09</v>
      </c>
      <c r="G19" s="48">
        <f t="shared" si="5"/>
        <v>23.319259790159307</v>
      </c>
    </row>
    <row r="20" spans="2:8" x14ac:dyDescent="0.25">
      <c r="E20" s="5" t="s">
        <v>51</v>
      </c>
      <c r="F20" s="46">
        <v>518.99</v>
      </c>
      <c r="G20" s="48">
        <f t="shared" si="5"/>
        <v>25.70600302112528</v>
      </c>
    </row>
    <row r="21" spans="2:8" x14ac:dyDescent="0.25">
      <c r="B21" s="159" t="s">
        <v>87</v>
      </c>
      <c r="C21" s="159"/>
      <c r="E21" s="5" t="s">
        <v>52</v>
      </c>
      <c r="F21" s="46">
        <v>647.19000000000005</v>
      </c>
      <c r="G21" s="48">
        <f t="shared" si="5"/>
        <v>28.705886172650199</v>
      </c>
    </row>
    <row r="22" spans="2:8" x14ac:dyDescent="0.25">
      <c r="B22" s="159"/>
      <c r="C22" s="159"/>
      <c r="E22" s="5" t="s">
        <v>53</v>
      </c>
      <c r="F22" s="46">
        <v>759.28</v>
      </c>
      <c r="G22" s="48">
        <f t="shared" si="5"/>
        <v>31.092528387484258</v>
      </c>
    </row>
    <row r="23" spans="2:8" x14ac:dyDescent="0.25">
      <c r="E23" s="131" t="s">
        <v>144</v>
      </c>
      <c r="F23" s="46">
        <f>PI()*G23^2/4</f>
        <v>21.711908771848677</v>
      </c>
      <c r="G23" s="48">
        <v>5.2577999999999996</v>
      </c>
    </row>
    <row r="24" spans="2:8" x14ac:dyDescent="0.25">
      <c r="E24" s="5" t="s">
        <v>107</v>
      </c>
      <c r="F24" s="46">
        <f>PI()*((G24/2)^2)</f>
        <v>28.274333882308138</v>
      </c>
      <c r="G24" s="48">
        <v>6</v>
      </c>
    </row>
    <row r="25" spans="2:8" x14ac:dyDescent="0.25">
      <c r="E25" s="5" t="s">
        <v>108</v>
      </c>
      <c r="F25" s="46">
        <f>PI()*((G25/2)^2)</f>
        <v>113.09733552923255</v>
      </c>
      <c r="G25" s="48">
        <v>12</v>
      </c>
    </row>
    <row r="26" spans="2:8" x14ac:dyDescent="0.25">
      <c r="E26" s="29" t="s">
        <v>103</v>
      </c>
      <c r="F26" s="47">
        <v>1</v>
      </c>
      <c r="G26" s="47">
        <v>1</v>
      </c>
    </row>
    <row r="27" spans="2:8" x14ac:dyDescent="0.25">
      <c r="E27" s="29" t="s">
        <v>102</v>
      </c>
      <c r="F27" s="47">
        <v>1</v>
      </c>
      <c r="G27" s="47">
        <v>1</v>
      </c>
    </row>
    <row r="28" spans="2:8" x14ac:dyDescent="0.25">
      <c r="E28" s="29" t="s">
        <v>105</v>
      </c>
      <c r="F28" s="47">
        <v>1</v>
      </c>
      <c r="G28" s="47">
        <v>1</v>
      </c>
    </row>
    <row r="29" spans="2:8" x14ac:dyDescent="0.25">
      <c r="C29" s="93" t="s">
        <v>85</v>
      </c>
      <c r="E29" s="29" t="s">
        <v>104</v>
      </c>
      <c r="F29" s="47">
        <v>1</v>
      </c>
      <c r="G29" s="47">
        <v>1</v>
      </c>
    </row>
    <row r="30" spans="2:8" x14ac:dyDescent="0.25">
      <c r="H30" s="93" t="s">
        <v>83</v>
      </c>
    </row>
  </sheetData>
  <sortState ref="E3:G44">
    <sortCondition ref="E3:E44"/>
  </sortState>
  <mergeCells count="1">
    <mergeCell ref="B21:C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4"/>
  <sheetViews>
    <sheetView showGridLines="0" topLeftCell="A172" zoomScaleNormal="100" workbookViewId="0">
      <selection activeCell="C193" sqref="C193:C195"/>
    </sheetView>
  </sheetViews>
  <sheetFormatPr defaultColWidth="9.140625" defaultRowHeight="15" x14ac:dyDescent="0.25"/>
  <cols>
    <col min="1" max="1" width="2.85546875" style="27" customWidth="1"/>
    <col min="2" max="2" width="4.140625" style="27" bestFit="1" customWidth="1"/>
    <col min="3" max="3" width="57.5703125" style="27" customWidth="1"/>
    <col min="4" max="4" width="12.5703125" style="27" customWidth="1"/>
    <col min="5" max="5" width="13" style="27" bestFit="1" customWidth="1"/>
    <col min="6" max="6" width="11" style="27" bestFit="1" customWidth="1"/>
    <col min="7" max="7" width="11.42578125" style="27" bestFit="1" customWidth="1"/>
    <col min="8" max="8" width="21" style="27" bestFit="1" customWidth="1"/>
    <col min="9" max="9" width="17.7109375" style="27" customWidth="1"/>
    <col min="10" max="10" width="14.85546875" style="27" bestFit="1" customWidth="1"/>
    <col min="11" max="12" width="15.85546875" style="27" bestFit="1" customWidth="1"/>
    <col min="13" max="13" width="11.7109375" style="27" customWidth="1"/>
    <col min="14" max="16384" width="9.140625" style="27"/>
  </cols>
  <sheetData>
    <row r="1" spans="2:15" x14ac:dyDescent="0.25">
      <c r="B1" s="232" t="s">
        <v>97</v>
      </c>
      <c r="C1" s="232"/>
      <c r="D1" s="232"/>
      <c r="E1" s="232"/>
    </row>
    <row r="2" spans="2:15" ht="15.75" thickBot="1" x14ac:dyDescent="0.3"/>
    <row r="3" spans="2:15" x14ac:dyDescent="0.25">
      <c r="C3" s="102" t="s">
        <v>24</v>
      </c>
      <c r="D3" s="12">
        <f>'Tie-Down Provision Workings'!D3</f>
        <v>9.81</v>
      </c>
      <c r="E3" s="103" t="s">
        <v>27</v>
      </c>
    </row>
    <row r="4" spans="2:15" x14ac:dyDescent="0.25">
      <c r="C4" s="104" t="s">
        <v>25</v>
      </c>
      <c r="D4" s="77">
        <f>'Tie-Down Provision Workings'!D4</f>
        <v>4</v>
      </c>
      <c r="E4" s="105" t="s">
        <v>26</v>
      </c>
    </row>
    <row r="5" spans="2:15" x14ac:dyDescent="0.25">
      <c r="C5" s="104" t="s">
        <v>28</v>
      </c>
      <c r="D5" s="77">
        <f>'Tie-Down Provision Workings'!D5</f>
        <v>2</v>
      </c>
      <c r="E5" s="105" t="s">
        <v>26</v>
      </c>
    </row>
    <row r="6" spans="2:15" ht="15.75" thickBot="1" x14ac:dyDescent="0.3">
      <c r="C6" s="106" t="s">
        <v>29</v>
      </c>
      <c r="D6" s="13">
        <f>'Tie-Down Provision Workings'!D6</f>
        <v>1.5</v>
      </c>
      <c r="E6" s="107" t="s">
        <v>26</v>
      </c>
    </row>
    <row r="7" spans="2:15" ht="15.75" thickBot="1" x14ac:dyDescent="0.3">
      <c r="C7" s="108"/>
      <c r="D7" s="14"/>
      <c r="E7" s="109"/>
    </row>
    <row r="8" spans="2:15" ht="15" customHeight="1" thickTop="1" thickBot="1" x14ac:dyDescent="0.3">
      <c r="B8" s="15"/>
      <c r="C8" s="15"/>
      <c r="D8" s="15"/>
      <c r="E8" s="212" t="s">
        <v>69</v>
      </c>
      <c r="F8" s="213"/>
      <c r="G8" s="213"/>
      <c r="H8" s="214" t="s">
        <v>67</v>
      </c>
      <c r="I8" s="215"/>
      <c r="J8" s="215"/>
      <c r="K8" s="215"/>
      <c r="L8" s="215"/>
      <c r="M8" s="216"/>
    </row>
    <row r="9" spans="2:15" ht="45.75" thickTop="1" x14ac:dyDescent="0.25">
      <c r="B9" s="75" t="s">
        <v>0</v>
      </c>
      <c r="C9" s="76" t="s">
        <v>1</v>
      </c>
      <c r="D9" s="76" t="s">
        <v>94</v>
      </c>
      <c r="E9" s="16" t="s">
        <v>75</v>
      </c>
      <c r="F9" s="16" t="s">
        <v>88</v>
      </c>
      <c r="G9" s="16" t="s">
        <v>78</v>
      </c>
      <c r="H9" s="16" t="s">
        <v>89</v>
      </c>
      <c r="I9" s="16" t="s">
        <v>90</v>
      </c>
      <c r="J9" s="16" t="s">
        <v>91</v>
      </c>
      <c r="K9" s="16" t="s">
        <v>65</v>
      </c>
      <c r="L9" s="16" t="s">
        <v>92</v>
      </c>
      <c r="M9" s="17" t="s">
        <v>93</v>
      </c>
    </row>
    <row r="10" spans="2:15" hidden="1" x14ac:dyDescent="0.25">
      <c r="B10" s="233">
        <v>1</v>
      </c>
      <c r="C10" s="234" t="str">
        <f>VLOOKUP(B10,'Tie-Down Provision Workings'!$B$10:$AT$64,2,FALSE)</f>
        <v>Air-Con (IDU 1, 2) fastened to front wall</v>
      </c>
      <c r="D10" s="235">
        <f>VLOOKUP(C10,'Tie-Down Provision Workings'!$C$10:$AT$64,2,FALSE)</f>
        <v>14</v>
      </c>
      <c r="E10" s="18" t="s">
        <v>73</v>
      </c>
      <c r="F10" s="28">
        <f>$D$4</f>
        <v>4</v>
      </c>
      <c r="G10" s="19">
        <f>VLOOKUP(C10,'Tie-Down Provision Workings'!$C$10:$AT$64,3,FALSE)</f>
        <v>549.36</v>
      </c>
      <c r="H10" s="234" t="str">
        <f>VLOOKUP(C10,'Tie-Down Provision Workings'!$C$10:$AT$64,8,FALSE)</f>
        <v>M6</v>
      </c>
      <c r="I10" s="28">
        <f>VLOOKUP(C10,'Tie-Down Provision Workings'!$C$10:$AT$64,14,FALSE)</f>
        <v>6</v>
      </c>
      <c r="J10" s="28">
        <f>IF(K10="Shear",VLOOKUP(C10,'Tie-Down Provision Workings'!$C$10:$AT$64,13,FALSE),VLOOKUP(C10,'Tie-Down Provision Workings'!$C$10:$AT$64,12,FALSE))</f>
        <v>11452.16</v>
      </c>
      <c r="K10" s="19" t="str">
        <f>VLOOKUP(C10,'Tie-Down Provision Workings'!$C$10:$AT$64,39,FALSE)</f>
        <v>Tensile</v>
      </c>
      <c r="L10" s="19">
        <f>VLOOKUP(C10,'Tie-Down Provision Workings'!$C$10:$AT$64,36,FALSE)</f>
        <v>91.56</v>
      </c>
      <c r="M10" s="110">
        <f>VLOOKUP(C10,'Tie-Down Provision Workings'!$C$10:$AT$64,42,FALSE)</f>
        <v>125.0782000873744</v>
      </c>
    </row>
    <row r="11" spans="2:15" hidden="1" x14ac:dyDescent="0.25">
      <c r="B11" s="181"/>
      <c r="C11" s="167"/>
      <c r="D11" s="236"/>
      <c r="E11" s="20" t="s">
        <v>74</v>
      </c>
      <c r="F11" s="74">
        <f>$D$5</f>
        <v>2</v>
      </c>
      <c r="G11" s="21">
        <f>VLOOKUP(C10,'Tie-Down Provision Workings'!$C$10:$AT$64,4,FALSE)</f>
        <v>274.68</v>
      </c>
      <c r="H11" s="167"/>
      <c r="I11" s="28">
        <f>VLOOKUP(C10,'Tie-Down Provision Workings'!$C$10:$AT$64,14,FALSE)</f>
        <v>6</v>
      </c>
      <c r="J11" s="74">
        <f>IF(K11="Shear",VLOOKUP(C10,'Tie-Down Provision Workings'!$C$10:$AT$64,13,FALSE),VLOOKUP(C10,'Tie-Down Provision Workings'!$C$10:$AT$64,12,FALSE))</f>
        <v>5726.08</v>
      </c>
      <c r="K11" s="21" t="str">
        <f>VLOOKUP(C10,'Tie-Down Provision Workings'!$C$10:$AT$64,40,FALSE)</f>
        <v>Shear</v>
      </c>
      <c r="L11" s="21">
        <f>VLOOKUP(C10,'Tie-Down Provision Workings'!$C$10:$AT$64,37,FALSE)</f>
        <v>45.78</v>
      </c>
      <c r="M11" s="111">
        <f>VLOOKUP(C10,'Tie-Down Provision Workings'!$C$10:$AT$64,43,FALSE)</f>
        <v>125.0782000873744</v>
      </c>
    </row>
    <row r="12" spans="2:15" hidden="1" x14ac:dyDescent="0.25">
      <c r="B12" s="182"/>
      <c r="C12" s="168"/>
      <c r="D12" s="237"/>
      <c r="E12" s="20" t="s">
        <v>2</v>
      </c>
      <c r="F12" s="74">
        <f>$D$6</f>
        <v>1.5</v>
      </c>
      <c r="G12" s="21">
        <f>VLOOKUP(C10,'Tie-Down Provision Workings'!$C$10:$AT$64,5,FALSE)</f>
        <v>206.01</v>
      </c>
      <c r="H12" s="168"/>
      <c r="I12" s="74">
        <f>VLOOKUP(C10,'Tie-Down Provision Workings'!$C$10:$AT$64,16,FALSE)</f>
        <v>0</v>
      </c>
      <c r="J12" s="74">
        <f>IF(K12="Shear",VLOOKUP(C10,'Tie-Down Provision Workings'!$C$10:$AT$64,13,FALSE),VLOOKUP(C10,'Tie-Down Provision Workings'!$C$10:$AT$64,12,FALSE))</f>
        <v>5726.08</v>
      </c>
      <c r="K12" s="21" t="str">
        <f>VLOOKUP(C10,'Tie-Down Provision Workings'!$C$10:$AT$64,41,FALSE)</f>
        <v>Shear</v>
      </c>
      <c r="L12" s="21">
        <f>VLOOKUP(C10,'Tie-Down Provision Workings'!$C$10:$AT$64,38,FALSE)</f>
        <v>34.335000000000001</v>
      </c>
      <c r="M12" s="111">
        <f>VLOOKUP(C10,'Tie-Down Provision Workings'!$C$10:$AT$64,44,FALSE)</f>
        <v>166.77093344983251</v>
      </c>
    </row>
    <row r="13" spans="2:15" x14ac:dyDescent="0.25">
      <c r="B13" s="217">
        <v>1</v>
      </c>
      <c r="C13" s="188" t="str">
        <f>VLOOKUP(B13,'Tie-Down Provision Workings'!$B$10:$AT$69,2,FALSE)</f>
        <v>Air-Con (IDU 1, 2) fastened to front wall</v>
      </c>
      <c r="D13" s="191">
        <f>VLOOKUP(C13,'Tie-Down Provision Workings'!$C$10:$AT$69,2,FALSE)</f>
        <v>14</v>
      </c>
      <c r="E13" s="84" t="s">
        <v>73</v>
      </c>
      <c r="F13" s="116">
        <f t="shared" ref="F13" si="0">$D$4</f>
        <v>4</v>
      </c>
      <c r="G13" s="86">
        <f>VLOOKUP(C13,'Tie-Down Provision Workings'!$C$10:$AT$69,3,FALSE)</f>
        <v>549.36</v>
      </c>
      <c r="H13" s="163" t="str">
        <f>VLOOKUP(C13,'Tie-Down Provision Workings'!$C$10:$AT$69,8,FALSE)</f>
        <v>M6</v>
      </c>
      <c r="I13" s="163">
        <f>'Tie-Down Provision Workings'!S10</f>
        <v>6</v>
      </c>
      <c r="J13" s="86">
        <f>IF(K13="Shear",VLOOKUP(C13,'Tie-Down Provision Workings'!$C$10:$AT$69,13,FALSE),VLOOKUP(C13,'Tie-Down Provision Workings'!$C$10:$AT$69,12,FALSE))</f>
        <v>11452.16</v>
      </c>
      <c r="K13" s="87" t="str">
        <f>VLOOKUP(C13,'Tie-Down Provision Workings'!$C$10:$AT$69,39,FALSE)</f>
        <v>Tensile</v>
      </c>
      <c r="L13" s="86">
        <f>VLOOKUP(C13,'Tie-Down Provision Workings'!$C$10:$AT$69,36,FALSE)</f>
        <v>91.56</v>
      </c>
      <c r="M13" s="88">
        <f>VLOOKUP(C13,'Tie-Down Provision Workings'!$C$10:$AT$69,42,FALSE)</f>
        <v>125.0782000873744</v>
      </c>
      <c r="O13" s="112"/>
    </row>
    <row r="14" spans="2:15" x14ac:dyDescent="0.25">
      <c r="B14" s="218"/>
      <c r="C14" s="189"/>
      <c r="D14" s="192"/>
      <c r="E14" s="115" t="s">
        <v>74</v>
      </c>
      <c r="F14" s="116">
        <f t="shared" ref="F14" si="1">$D$5</f>
        <v>2</v>
      </c>
      <c r="G14" s="86">
        <f>VLOOKUP(C13,'Tie-Down Provision Workings'!$C$10:$AT$69,4,FALSE)</f>
        <v>274.68</v>
      </c>
      <c r="H14" s="164"/>
      <c r="I14" s="164"/>
      <c r="J14" s="86">
        <f>IF(K14="Shear",VLOOKUP(C13,'Tie-Down Provision Workings'!$C$10:$AT$69,13,FALSE),VLOOKUP(C13,'Tie-Down Provision Workings'!$C$10:$AT$69,12,FALSE))</f>
        <v>5726.08</v>
      </c>
      <c r="K14" s="87" t="str">
        <f>VLOOKUP(C13,'Tie-Down Provision Workings'!$C$10:$AT$69,40,FALSE)</f>
        <v>Shear</v>
      </c>
      <c r="L14" s="86">
        <f>VLOOKUP(C13,'Tie-Down Provision Workings'!$C$10:$AT$69,37,FALSE)</f>
        <v>45.78</v>
      </c>
      <c r="M14" s="88">
        <f>VLOOKUP(C13,'Tie-Down Provision Workings'!$C$10:$AT$69,43,FALSE)</f>
        <v>125.0782000873744</v>
      </c>
      <c r="O14" s="112"/>
    </row>
    <row r="15" spans="2:15" x14ac:dyDescent="0.25">
      <c r="B15" s="219"/>
      <c r="C15" s="190"/>
      <c r="D15" s="193"/>
      <c r="E15" s="115" t="s">
        <v>2</v>
      </c>
      <c r="F15" s="116">
        <f t="shared" ref="F15" si="2">$D$6</f>
        <v>1.5</v>
      </c>
      <c r="G15" s="86">
        <f>VLOOKUP(C13,'Tie-Down Provision Workings'!$C$10:$AT$69,5,FALSE)</f>
        <v>206.01</v>
      </c>
      <c r="H15" s="165"/>
      <c r="I15" s="165"/>
      <c r="J15" s="86">
        <f>IF(K15="Shear",VLOOKUP(C13,'Tie-Down Provision Workings'!$C$10:$AT$69,13,FALSE),VLOOKUP(C13,'Tie-Down Provision Workings'!$C$10:$AT$69,12,FALSE))</f>
        <v>5726.08</v>
      </c>
      <c r="K15" s="87" t="str">
        <f>VLOOKUP(C13,'Tie-Down Provision Workings'!$C$10:$AT$69,41,FALSE)</f>
        <v>Shear</v>
      </c>
      <c r="L15" s="86">
        <f>VLOOKUP(C13,'Tie-Down Provision Workings'!$C$10:$AT$69,38,FALSE)</f>
        <v>34.335000000000001</v>
      </c>
      <c r="M15" s="88">
        <f>VLOOKUP(C13,'Tie-Down Provision Workings'!$C$10:$AT$69,44,FALSE)</f>
        <v>166.77093344983251</v>
      </c>
      <c r="O15" s="112"/>
    </row>
    <row r="16" spans="2:15" x14ac:dyDescent="0.25">
      <c r="B16" s="209">
        <v>2</v>
      </c>
      <c r="C16" s="194" t="str">
        <f>VLOOKUP(B16,'Tie-Down Provision Workings'!$B$10:$AT$69,2,FALSE)</f>
        <v>Air-Con (IDU 3) fastened to right wall</v>
      </c>
      <c r="D16" s="197">
        <f>VLOOKUP(C16,'Tie-Down Provision Workings'!$C$10:$AT$69,2,FALSE)</f>
        <v>14</v>
      </c>
      <c r="E16" s="79" t="s">
        <v>73</v>
      </c>
      <c r="F16" s="121">
        <f t="shared" ref="F16" si="3">$D$4</f>
        <v>4</v>
      </c>
      <c r="G16" s="80">
        <f>VLOOKUP(C16,'Tie-Down Provision Workings'!$C$10:$AT$69,3,FALSE)</f>
        <v>549.36</v>
      </c>
      <c r="H16" s="169" t="str">
        <f>VLOOKUP(C16,'Tie-Down Provision Workings'!$C$10:$AT$69,8,FALSE)</f>
        <v>M6</v>
      </c>
      <c r="I16" s="169">
        <f>'Tie-Down Provision Workings'!S11</f>
        <v>6</v>
      </c>
      <c r="J16" s="80">
        <f>IF(K16="Shear",VLOOKUP(C16,'Tie-Down Provision Workings'!$C$10:$AT$69,13,FALSE),VLOOKUP(C16,'Tie-Down Provision Workings'!$C$10:$AT$69,12,FALSE))</f>
        <v>5726.08</v>
      </c>
      <c r="K16" s="81" t="str">
        <f>VLOOKUP(C16,'Tie-Down Provision Workings'!$C$10:$AT$69,39,FALSE)</f>
        <v>Shear</v>
      </c>
      <c r="L16" s="80">
        <f>VLOOKUP(C16,'Tie-Down Provision Workings'!$C$10:$AT$69,36,FALSE)</f>
        <v>91.56</v>
      </c>
      <c r="M16" s="82">
        <f>VLOOKUP(C16,'Tie-Down Provision Workings'!$C$10:$AT$69,42,FALSE)</f>
        <v>62.539100043687199</v>
      </c>
      <c r="O16" s="112"/>
    </row>
    <row r="17" spans="2:15" x14ac:dyDescent="0.25">
      <c r="B17" s="210"/>
      <c r="C17" s="195"/>
      <c r="D17" s="198"/>
      <c r="E17" s="83" t="s">
        <v>74</v>
      </c>
      <c r="F17" s="121">
        <f t="shared" ref="F17" si="4">$D$5</f>
        <v>2</v>
      </c>
      <c r="G17" s="80">
        <f>VLOOKUP(C16,'Tie-Down Provision Workings'!$C$10:$AT$69,4,FALSE)</f>
        <v>274.68</v>
      </c>
      <c r="H17" s="170"/>
      <c r="I17" s="170"/>
      <c r="J17" s="80">
        <f>IF(K17="Shear",VLOOKUP(C16,'Tie-Down Provision Workings'!$C$10:$AT$69,13,FALSE),VLOOKUP(C16,'Tie-Down Provision Workings'!$C$10:$AT$69,12,FALSE))</f>
        <v>5726.08</v>
      </c>
      <c r="K17" s="81" t="str">
        <f>VLOOKUP(C16,'Tie-Down Provision Workings'!$C$10:$AT$69,40,FALSE)</f>
        <v>Shear</v>
      </c>
      <c r="L17" s="80">
        <f>VLOOKUP(C16,'Tie-Down Provision Workings'!$C$10:$AT$69,37,FALSE)</f>
        <v>45.78</v>
      </c>
      <c r="M17" s="82">
        <f>VLOOKUP(C16,'Tie-Down Provision Workings'!$C$10:$AT$69,43,FALSE)</f>
        <v>125.0782000873744</v>
      </c>
      <c r="O17" s="112"/>
    </row>
    <row r="18" spans="2:15" x14ac:dyDescent="0.25">
      <c r="B18" s="211"/>
      <c r="C18" s="196"/>
      <c r="D18" s="199"/>
      <c r="E18" s="83" t="s">
        <v>2</v>
      </c>
      <c r="F18" s="121">
        <f t="shared" ref="F18" si="5">$D$6</f>
        <v>1.5</v>
      </c>
      <c r="G18" s="80">
        <f>VLOOKUP(C16,'Tie-Down Provision Workings'!$C$10:$AT$69,5,FALSE)</f>
        <v>206.01</v>
      </c>
      <c r="H18" s="171"/>
      <c r="I18" s="171"/>
      <c r="J18" s="80">
        <f>IF(K18="Shear",VLOOKUP(C16,'Tie-Down Provision Workings'!$C$10:$AT$69,13,FALSE),VLOOKUP(C16,'Tie-Down Provision Workings'!$C$10:$AT$69,12,FALSE))</f>
        <v>11452.16</v>
      </c>
      <c r="K18" s="81" t="str">
        <f>VLOOKUP(C16,'Tie-Down Provision Workings'!$C$10:$AT$69,41,FALSE)</f>
        <v>Tensile</v>
      </c>
      <c r="L18" s="80">
        <f>VLOOKUP(C16,'Tie-Down Provision Workings'!$C$10:$AT$69,38,FALSE)</f>
        <v>34.335000000000001</v>
      </c>
      <c r="M18" s="82">
        <f>VLOOKUP(C16,'Tie-Down Provision Workings'!$C$10:$AT$69,44,FALSE)</f>
        <v>333.54186689966502</v>
      </c>
      <c r="O18" s="112"/>
    </row>
    <row r="19" spans="2:15" ht="15" customHeight="1" x14ac:dyDescent="0.25">
      <c r="B19" s="217">
        <v>3</v>
      </c>
      <c r="C19" s="188" t="str">
        <f>VLOOKUP(B19,'Tie-Down Provision Workings'!$B$10:$AT$69,2,FALSE)</f>
        <v>Air-Con (ODU 1, 2, 3) fastened to the top frame of the utility rack and the floor of the EM mast working platform</v>
      </c>
      <c r="D19" s="191">
        <f>VLOOKUP(C19,'Tie-Down Provision Workings'!$C$10:$AT$69,2,FALSE)</f>
        <v>51</v>
      </c>
      <c r="E19" s="84" t="s">
        <v>73</v>
      </c>
      <c r="F19" s="85">
        <f t="shared" ref="F19" si="6">$D$4</f>
        <v>4</v>
      </c>
      <c r="G19" s="86">
        <f>VLOOKUP(C19,'Tie-Down Provision Workings'!$C$10:$AT$69,3,FALSE)</f>
        <v>2001.24</v>
      </c>
      <c r="H19" s="163" t="str">
        <f>VLOOKUP(C19,'Tie-Down Provision Workings'!$C$10:$AT$69,8,FALSE)</f>
        <v>M10</v>
      </c>
      <c r="I19" s="163">
        <f>'Tie-Down Provision Workings'!S12</f>
        <v>4</v>
      </c>
      <c r="J19" s="86">
        <f>IF(K19="Shear",VLOOKUP(C19,'Tie-Down Provision Workings'!$C$10:$AT$69,13,FALSE),VLOOKUP(C19,'Tie-Down Provision Workings'!$C$10:$AT$69,12,FALSE))</f>
        <v>16733.440000000002</v>
      </c>
      <c r="K19" s="87" t="str">
        <f>VLOOKUP(C19,'Tie-Down Provision Workings'!$C$10:$AT$69,39,FALSE)</f>
        <v>Shear</v>
      </c>
      <c r="L19" s="86">
        <f>VLOOKUP(C19,'Tie-Down Provision Workings'!$C$10:$AT$69,36,FALSE)</f>
        <v>500.31</v>
      </c>
      <c r="M19" s="88">
        <f>VLOOKUP(C19,'Tie-Down Provision Workings'!$C$10:$AT$69,42,FALSE)</f>
        <v>33.446143391097522</v>
      </c>
      <c r="O19" s="112"/>
    </row>
    <row r="20" spans="2:15" x14ac:dyDescent="0.25">
      <c r="B20" s="218"/>
      <c r="C20" s="189"/>
      <c r="D20" s="192"/>
      <c r="E20" s="89" t="s">
        <v>74</v>
      </c>
      <c r="F20" s="85">
        <f t="shared" ref="F20" si="7">$D$5</f>
        <v>2</v>
      </c>
      <c r="G20" s="86">
        <f>VLOOKUP(C19,'Tie-Down Provision Workings'!$C$10:$AT$69,4,FALSE)</f>
        <v>1000.62</v>
      </c>
      <c r="H20" s="164"/>
      <c r="I20" s="164"/>
      <c r="J20" s="86">
        <f>IF(K20="Shear",VLOOKUP(C19,'Tie-Down Provision Workings'!$C$10:$AT$69,13,FALSE),VLOOKUP(C19,'Tie-Down Provision Workings'!$C$10:$AT$69,12,FALSE))</f>
        <v>33466.880000000005</v>
      </c>
      <c r="K20" s="87" t="str">
        <f>VLOOKUP(C19,'Tie-Down Provision Workings'!$C$10:$AT$69,40,FALSE)</f>
        <v>Tensile</v>
      </c>
      <c r="L20" s="86">
        <f>VLOOKUP(C19,'Tie-Down Provision Workings'!$C$10:$AT$69,37,FALSE)</f>
        <v>250.155</v>
      </c>
      <c r="M20" s="88">
        <f>VLOOKUP(C19,'Tie-Down Provision Workings'!$C$10:$AT$69,43,FALSE)</f>
        <v>133.78457356439009</v>
      </c>
      <c r="O20" s="112"/>
    </row>
    <row r="21" spans="2:15" x14ac:dyDescent="0.25">
      <c r="B21" s="219"/>
      <c r="C21" s="190"/>
      <c r="D21" s="193"/>
      <c r="E21" s="89" t="s">
        <v>2</v>
      </c>
      <c r="F21" s="85">
        <f t="shared" ref="F21" si="8">$D$6</f>
        <v>1.5</v>
      </c>
      <c r="G21" s="86">
        <f>VLOOKUP(C19,'Tie-Down Provision Workings'!$C$10:$AT$69,5,FALSE)</f>
        <v>750.46500000000003</v>
      </c>
      <c r="H21" s="165"/>
      <c r="I21" s="165"/>
      <c r="J21" s="86">
        <f>IF(K21="Shear",VLOOKUP(C19,'Tie-Down Provision Workings'!$C$10:$AT$69,13,FALSE),VLOOKUP(C19,'Tie-Down Provision Workings'!$C$10:$AT$69,12,FALSE))</f>
        <v>16733.440000000002</v>
      </c>
      <c r="K21" s="87" t="str">
        <f>VLOOKUP(C19,'Tie-Down Provision Workings'!$C$10:$AT$69,41,FALSE)</f>
        <v>Shear</v>
      </c>
      <c r="L21" s="86">
        <f>VLOOKUP(C19,'Tie-Down Provision Workings'!$C$10:$AT$69,38,FALSE)</f>
        <v>187.61625000000001</v>
      </c>
      <c r="M21" s="88">
        <f>VLOOKUP(C19,'Tie-Down Provision Workings'!$C$10:$AT$69,44,FALSE)</f>
        <v>89.189715709593401</v>
      </c>
      <c r="O21" s="112"/>
    </row>
    <row r="22" spans="2:15" x14ac:dyDescent="0.25">
      <c r="B22" s="185">
        <v>4</v>
      </c>
      <c r="C22" s="194" t="str">
        <f>VLOOKUP(B22,'Tie-Down Provision Workings'!$B$10:$AT$69,2,FALSE)</f>
        <v>Foldable Table fastened to right side wall</v>
      </c>
      <c r="D22" s="197">
        <f>VLOOKUP(C22,'Tie-Down Provision Workings'!$C$10:$AT$69,2,FALSE)</f>
        <v>10</v>
      </c>
      <c r="E22" s="22" t="s">
        <v>73</v>
      </c>
      <c r="F22" s="119">
        <f t="shared" ref="F22" si="9">$D$4</f>
        <v>4</v>
      </c>
      <c r="G22" s="80">
        <f>VLOOKUP(C22,'Tie-Down Provision Workings'!$C$10:$AT$69,3,FALSE)</f>
        <v>392.40000000000003</v>
      </c>
      <c r="H22" s="169" t="str">
        <f>VLOOKUP(C22,'Tie-Down Provision Workings'!$C$10:$AT$69,8,FALSE)</f>
        <v>M6</v>
      </c>
      <c r="I22" s="160">
        <f>'Tie-Down Provision Workings'!S13</f>
        <v>6</v>
      </c>
      <c r="J22" s="80">
        <f>IF(K22="Shear",VLOOKUP(C22,'Tie-Down Provision Workings'!$C$10:$AT$69,13,FALSE),VLOOKUP(C22,'Tie-Down Provision Workings'!$C$10:$AT$69,12,FALSE))</f>
        <v>5726.08</v>
      </c>
      <c r="K22" s="81" t="str">
        <f>VLOOKUP(C22,'Tie-Down Provision Workings'!$C$10:$AT$69,39,FALSE)</f>
        <v>Shear</v>
      </c>
      <c r="L22" s="80">
        <f>VLOOKUP(C22,'Tie-Down Provision Workings'!$C$10:$AT$69,36,FALSE)</f>
        <v>65.400000000000006</v>
      </c>
      <c r="M22" s="82">
        <f>VLOOKUP(C22,'Tie-Down Provision Workings'!$C$10:$AT$69,42,FALSE)</f>
        <v>87.554740061162065</v>
      </c>
      <c r="O22" s="112"/>
    </row>
    <row r="23" spans="2:15" x14ac:dyDescent="0.25">
      <c r="B23" s="186"/>
      <c r="C23" s="195"/>
      <c r="D23" s="198"/>
      <c r="E23" s="23" t="s">
        <v>74</v>
      </c>
      <c r="F23" s="119">
        <f t="shared" ref="F23" si="10">$D$5</f>
        <v>2</v>
      </c>
      <c r="G23" s="80">
        <f>VLOOKUP(C22,'Tie-Down Provision Workings'!$C$10:$AT$69,4,FALSE)</f>
        <v>196.20000000000002</v>
      </c>
      <c r="H23" s="170"/>
      <c r="I23" s="161"/>
      <c r="J23" s="80">
        <f>IF(K23="Shear",VLOOKUP(C22,'Tie-Down Provision Workings'!$C$10:$AT$69,13,FALSE),VLOOKUP(C22,'Tie-Down Provision Workings'!$C$10:$AT$69,12,FALSE))</f>
        <v>5726.08</v>
      </c>
      <c r="K23" s="81" t="str">
        <f>VLOOKUP(C22,'Tie-Down Provision Workings'!$C$10:$AT$69,40,FALSE)</f>
        <v>Shear</v>
      </c>
      <c r="L23" s="80">
        <f>VLOOKUP(C22,'Tie-Down Provision Workings'!$C$10:$AT$69,37,FALSE)</f>
        <v>32.700000000000003</v>
      </c>
      <c r="M23" s="82">
        <f>VLOOKUP(C22,'Tie-Down Provision Workings'!$C$10:$AT$69,43,FALSE)</f>
        <v>175.10948012232413</v>
      </c>
      <c r="O23" s="112"/>
    </row>
    <row r="24" spans="2:15" x14ac:dyDescent="0.25">
      <c r="B24" s="187"/>
      <c r="C24" s="196"/>
      <c r="D24" s="199"/>
      <c r="E24" s="23" t="s">
        <v>2</v>
      </c>
      <c r="F24" s="119">
        <f t="shared" ref="F24" si="11">$D$6</f>
        <v>1.5</v>
      </c>
      <c r="G24" s="80">
        <f>VLOOKUP(C22,'Tie-Down Provision Workings'!$C$10:$AT$69,5,FALSE)</f>
        <v>147.15</v>
      </c>
      <c r="H24" s="171"/>
      <c r="I24" s="162"/>
      <c r="J24" s="80">
        <f>IF(K24="Shear",VLOOKUP(C22,'Tie-Down Provision Workings'!$C$10:$AT$69,13,FALSE),VLOOKUP(C22,'Tie-Down Provision Workings'!$C$10:$AT$69,12,FALSE))</f>
        <v>11452.16</v>
      </c>
      <c r="K24" s="81" t="str">
        <f>VLOOKUP(C22,'Tie-Down Provision Workings'!$C$10:$AT$69,41,FALSE)</f>
        <v>Tensile</v>
      </c>
      <c r="L24" s="80">
        <f>VLOOKUP(C22,'Tie-Down Provision Workings'!$C$10:$AT$69,38,FALSE)</f>
        <v>24.525000000000002</v>
      </c>
      <c r="M24" s="82">
        <f>VLOOKUP(C22,'Tie-Down Provision Workings'!$C$10:$AT$69,44,FALSE)</f>
        <v>466.95861365953107</v>
      </c>
      <c r="O24" s="112"/>
    </row>
    <row r="25" spans="2:15" x14ac:dyDescent="0.25">
      <c r="B25" s="180">
        <v>5</v>
      </c>
      <c r="C25" s="188" t="str">
        <f>VLOOKUP(B25,'Tie-Down Provision Workings'!$B$10:$AT$69,2,FALSE)</f>
        <v>Foldable Chairs (3x) strap to the rear wall</v>
      </c>
      <c r="D25" s="228">
        <f>VLOOKUP(C25,'Tie-Down Provision Workings'!$C$10:$AT$69,2,FALSE)</f>
        <v>13.5</v>
      </c>
      <c r="E25" s="18" t="s">
        <v>73</v>
      </c>
      <c r="F25" s="120">
        <f t="shared" ref="F25:F94" si="12">$D$4</f>
        <v>4</v>
      </c>
      <c r="G25" s="86">
        <f>VLOOKUP(C25,'Tie-Down Provision Workings'!$C$10:$AT$69,3,FALSE)</f>
        <v>529.74</v>
      </c>
      <c r="H25" s="163" t="str">
        <f>VLOOKUP(C25,'Tie-Down Provision Workings'!$C$10:$AT$69,8,FALSE)</f>
        <v>Camlock Strap (1")</v>
      </c>
      <c r="I25" s="166">
        <f>'Tie-Down Provision Workings'!S14</f>
        <v>1</v>
      </c>
      <c r="J25" s="86">
        <f>IF(K25="Shear",VLOOKUP(C25,'Tie-Down Provision Workings'!$C$10:$AT$69,13,FALSE),VLOOKUP(C25,'Tie-Down Provision Workings'!$C$10:$AT$69,12,FALSE))</f>
        <v>2500</v>
      </c>
      <c r="K25" s="87" t="str">
        <f>VLOOKUP(C25,'Tie-Down Provision Workings'!$C$10:$AT$69,39,FALSE)</f>
        <v>Tensile</v>
      </c>
      <c r="L25" s="86">
        <f>VLOOKUP(C25,'Tie-Down Provision Workings'!$C$10:$AT$69,36,FALSE)</f>
        <v>529.74</v>
      </c>
      <c r="M25" s="88">
        <f>VLOOKUP(C25,'Tie-Down Provision Workings'!$C$10:$AT$69,42,FALSE)</f>
        <v>4.7192962585419265</v>
      </c>
      <c r="O25" s="112"/>
    </row>
    <row r="26" spans="2:15" x14ac:dyDescent="0.25">
      <c r="B26" s="181"/>
      <c r="C26" s="189"/>
      <c r="D26" s="229"/>
      <c r="E26" s="20" t="s">
        <v>74</v>
      </c>
      <c r="F26" s="120">
        <f t="shared" ref="F26:F95" si="13">$D$5</f>
        <v>2</v>
      </c>
      <c r="G26" s="86">
        <f>VLOOKUP(C25,'Tie-Down Provision Workings'!$C$10:$AT$69,4,FALSE)</f>
        <v>264.87</v>
      </c>
      <c r="H26" s="164"/>
      <c r="I26" s="167"/>
      <c r="J26" s="86">
        <f>IF(K26="Shear",VLOOKUP(C25,'Tie-Down Provision Workings'!$C$10:$AT$69,13,FALSE),VLOOKUP(C25,'Tie-Down Provision Workings'!$C$10:$AT$69,12,FALSE))</f>
        <v>2500</v>
      </c>
      <c r="K26" s="87" t="str">
        <f>VLOOKUP(C25,'Tie-Down Provision Workings'!$C$10:$AT$69,40,FALSE)</f>
        <v>Shear</v>
      </c>
      <c r="L26" s="86">
        <f>VLOOKUP(C25,'Tie-Down Provision Workings'!$C$10:$AT$69,37,FALSE)</f>
        <v>264.87</v>
      </c>
      <c r="M26" s="88">
        <f>VLOOKUP(C25,'Tie-Down Provision Workings'!$C$10:$AT$69,43,FALSE)</f>
        <v>9.4385925170838529</v>
      </c>
    </row>
    <row r="27" spans="2:15" x14ac:dyDescent="0.25">
      <c r="B27" s="182"/>
      <c r="C27" s="190"/>
      <c r="D27" s="230"/>
      <c r="E27" s="20" t="s">
        <v>2</v>
      </c>
      <c r="F27" s="120">
        <f t="shared" ref="F27:F96" si="14">$D$6</f>
        <v>1.5</v>
      </c>
      <c r="G27" s="86">
        <f>VLOOKUP(C25,'Tie-Down Provision Workings'!$C$10:$AT$69,5,FALSE)</f>
        <v>198.6525</v>
      </c>
      <c r="H27" s="165"/>
      <c r="I27" s="168"/>
      <c r="J27" s="86">
        <f>IF(K27="Shear",VLOOKUP(C25,'Tie-Down Provision Workings'!$C$10:$AT$69,13,FALSE),VLOOKUP(C25,'Tie-Down Provision Workings'!$C$10:$AT$69,12,FALSE))</f>
        <v>2500</v>
      </c>
      <c r="K27" s="87" t="str">
        <f>VLOOKUP(C25,'Tie-Down Provision Workings'!$C$10:$AT$69,41,FALSE)</f>
        <v>Shear</v>
      </c>
      <c r="L27" s="86">
        <f>VLOOKUP(C25,'Tie-Down Provision Workings'!$C$10:$AT$69,38,FALSE)</f>
        <v>198.6525</v>
      </c>
      <c r="M27" s="88">
        <f>VLOOKUP(C25,'Tie-Down Provision Workings'!$C$10:$AT$69,44,FALSE)</f>
        <v>12.584790022778471</v>
      </c>
    </row>
    <row r="28" spans="2:15" x14ac:dyDescent="0.25">
      <c r="B28" s="185">
        <v>6</v>
      </c>
      <c r="C28" s="194" t="str">
        <f>VLOOKUP(B28,'Tie-Down Provision Workings'!$B$10:$AT$69,2,FALSE)</f>
        <v>First Aid Kit strap to the rear wall</v>
      </c>
      <c r="D28" s="197">
        <f>VLOOKUP(C28,'Tie-Down Provision Workings'!$C$10:$AT$69,2,FALSE)</f>
        <v>2</v>
      </c>
      <c r="E28" s="22" t="s">
        <v>73</v>
      </c>
      <c r="F28" s="119">
        <f t="shared" ref="F28:F97" si="15">$D$4</f>
        <v>4</v>
      </c>
      <c r="G28" s="80">
        <f>VLOOKUP(C28,'Tie-Down Provision Workings'!$C$10:$AT$69,3,FALSE)</f>
        <v>78.48</v>
      </c>
      <c r="H28" s="169" t="str">
        <f>VLOOKUP(C28,'Tie-Down Provision Workings'!$C$10:$AT$69,8,FALSE)</f>
        <v>Camlock Strap (1")</v>
      </c>
      <c r="I28" s="160">
        <f>'Tie-Down Provision Workings'!S15</f>
        <v>1</v>
      </c>
      <c r="J28" s="80">
        <f>IF(K28="Shear",VLOOKUP(C28,'Tie-Down Provision Workings'!$C$10:$AT$69,13,FALSE),VLOOKUP(C28,'Tie-Down Provision Workings'!$C$10:$AT$69,12,FALSE))</f>
        <v>2500</v>
      </c>
      <c r="K28" s="81" t="str">
        <f>VLOOKUP(C28,'Tie-Down Provision Workings'!$C$10:$AT$69,39,FALSE)</f>
        <v>Tensile</v>
      </c>
      <c r="L28" s="80">
        <f>VLOOKUP(C28,'Tie-Down Provision Workings'!$C$10:$AT$69,36,FALSE)</f>
        <v>78.48</v>
      </c>
      <c r="M28" s="82">
        <f>VLOOKUP(C28,'Tie-Down Provision Workings'!$C$10:$AT$69,42,FALSE)</f>
        <v>31.855249745158002</v>
      </c>
    </row>
    <row r="29" spans="2:15" x14ac:dyDescent="0.25">
      <c r="B29" s="186"/>
      <c r="C29" s="195"/>
      <c r="D29" s="198"/>
      <c r="E29" s="23" t="s">
        <v>74</v>
      </c>
      <c r="F29" s="119">
        <f t="shared" ref="F29:F98" si="16">$D$5</f>
        <v>2</v>
      </c>
      <c r="G29" s="80">
        <f>VLOOKUP(C28,'Tie-Down Provision Workings'!$C$10:$AT$69,4,FALSE)</f>
        <v>39.24</v>
      </c>
      <c r="H29" s="170"/>
      <c r="I29" s="161"/>
      <c r="J29" s="80">
        <f>IF(K29="Shear",VLOOKUP(C28,'Tie-Down Provision Workings'!$C$10:$AT$69,13,FALSE),VLOOKUP(C28,'Tie-Down Provision Workings'!$C$10:$AT$69,12,FALSE))</f>
        <v>2500</v>
      </c>
      <c r="K29" s="81" t="str">
        <f>VLOOKUP(C28,'Tie-Down Provision Workings'!$C$10:$AT$69,40,FALSE)</f>
        <v>Shear</v>
      </c>
      <c r="L29" s="80">
        <f>VLOOKUP(C28,'Tie-Down Provision Workings'!$C$10:$AT$69,37,FALSE)</f>
        <v>39.24</v>
      </c>
      <c r="M29" s="82">
        <f>VLOOKUP(C28,'Tie-Down Provision Workings'!$C$10:$AT$69,43,FALSE)</f>
        <v>63.710499490316003</v>
      </c>
    </row>
    <row r="30" spans="2:15" x14ac:dyDescent="0.25">
      <c r="B30" s="187"/>
      <c r="C30" s="196"/>
      <c r="D30" s="199"/>
      <c r="E30" s="23" t="s">
        <v>2</v>
      </c>
      <c r="F30" s="119">
        <f t="shared" ref="F30:F99" si="17">$D$6</f>
        <v>1.5</v>
      </c>
      <c r="G30" s="80">
        <f>VLOOKUP(C28,'Tie-Down Provision Workings'!$C$10:$AT$69,5,FALSE)</f>
        <v>29.43</v>
      </c>
      <c r="H30" s="171"/>
      <c r="I30" s="162"/>
      <c r="J30" s="80">
        <f>IF(K30="Shear",VLOOKUP(C28,'Tie-Down Provision Workings'!$C$10:$AT$69,13,FALSE),VLOOKUP(C28,'Tie-Down Provision Workings'!$C$10:$AT$69,12,FALSE))</f>
        <v>2500</v>
      </c>
      <c r="K30" s="81" t="str">
        <f>VLOOKUP(C28,'Tie-Down Provision Workings'!$C$10:$AT$69,41,FALSE)</f>
        <v>Shear</v>
      </c>
      <c r="L30" s="80">
        <f>VLOOKUP(C28,'Tie-Down Provision Workings'!$C$10:$AT$69,38,FALSE)</f>
        <v>29.43</v>
      </c>
      <c r="M30" s="82">
        <f>VLOOKUP(C28,'Tie-Down Provision Workings'!$C$10:$AT$69,44,FALSE)</f>
        <v>84.947332653754671</v>
      </c>
    </row>
    <row r="31" spans="2:15" x14ac:dyDescent="0.25">
      <c r="B31" s="180">
        <v>7</v>
      </c>
      <c r="C31" s="188" t="str">
        <f>VLOOKUP(B31,'Tie-Down Provision Workings'!$B$10:$AT$69,2,FALSE)</f>
        <v>CO Detector fastenered to the rear wall</v>
      </c>
      <c r="D31" s="191">
        <f>VLOOKUP(C31,'Tie-Down Provision Workings'!$C$10:$AT$69,2,FALSE)</f>
        <v>1</v>
      </c>
      <c r="E31" s="18" t="s">
        <v>73</v>
      </c>
      <c r="F31" s="120">
        <f t="shared" ref="F31" si="18">$D$4</f>
        <v>4</v>
      </c>
      <c r="G31" s="86">
        <f>VLOOKUP(C31,'Tie-Down Provision Workings'!$C$10:$AT$69,3,FALSE)</f>
        <v>39.24</v>
      </c>
      <c r="H31" s="163" t="str">
        <f>VLOOKUP(C31,'Tie-Down Provision Workings'!$C$10:$AT$69,8,FALSE)</f>
        <v>Camlock Strap (1")</v>
      </c>
      <c r="I31" s="166">
        <f>'Tie-Down Provision Workings'!S16</f>
        <v>1</v>
      </c>
      <c r="J31" s="86">
        <f>IF(K31="Shear",VLOOKUP(C31,'Tie-Down Provision Workings'!$C$10:$AT$69,13,FALSE),VLOOKUP(C31,'Tie-Down Provision Workings'!$C$10:$AT$69,12,FALSE))</f>
        <v>2500</v>
      </c>
      <c r="K31" s="87" t="str">
        <f>VLOOKUP(C31,'Tie-Down Provision Workings'!$C$10:$AT$69,39,FALSE)</f>
        <v>Tensile</v>
      </c>
      <c r="L31" s="86">
        <f>VLOOKUP(C31,'Tie-Down Provision Workings'!$C$10:$AT$69,36,FALSE)</f>
        <v>39.24</v>
      </c>
      <c r="M31" s="88">
        <f>VLOOKUP(C31,'Tie-Down Provision Workings'!$C$10:$AT$69,42,FALSE)</f>
        <v>63.710499490316003</v>
      </c>
    </row>
    <row r="32" spans="2:15" x14ac:dyDescent="0.25">
      <c r="B32" s="181"/>
      <c r="C32" s="189"/>
      <c r="D32" s="192"/>
      <c r="E32" s="20" t="s">
        <v>74</v>
      </c>
      <c r="F32" s="120">
        <f t="shared" ref="F32" si="19">$D$5</f>
        <v>2</v>
      </c>
      <c r="G32" s="86">
        <f>VLOOKUP(C31,'Tie-Down Provision Workings'!$C$10:$AT$69,4,FALSE)</f>
        <v>19.62</v>
      </c>
      <c r="H32" s="164"/>
      <c r="I32" s="167"/>
      <c r="J32" s="86">
        <f>IF(K32="Shear",VLOOKUP(C31,'Tie-Down Provision Workings'!$C$10:$AT$69,13,FALSE),VLOOKUP(C31,'Tie-Down Provision Workings'!$C$10:$AT$69,12,FALSE))</f>
        <v>2500</v>
      </c>
      <c r="K32" s="87" t="str">
        <f>VLOOKUP(C31,'Tie-Down Provision Workings'!$C$10:$AT$69,40,FALSE)</f>
        <v>Shear</v>
      </c>
      <c r="L32" s="86">
        <f>VLOOKUP(C31,'Tie-Down Provision Workings'!$C$10:$AT$69,37,FALSE)</f>
        <v>19.62</v>
      </c>
      <c r="M32" s="88">
        <f>VLOOKUP(C31,'Tie-Down Provision Workings'!$C$10:$AT$69,43,FALSE)</f>
        <v>127.42099898063201</v>
      </c>
    </row>
    <row r="33" spans="2:13" x14ac:dyDescent="0.25">
      <c r="B33" s="182"/>
      <c r="C33" s="190"/>
      <c r="D33" s="193"/>
      <c r="E33" s="20" t="s">
        <v>2</v>
      </c>
      <c r="F33" s="120">
        <f t="shared" ref="F33" si="20">$D$6</f>
        <v>1.5</v>
      </c>
      <c r="G33" s="86">
        <f>VLOOKUP(C31,'Tie-Down Provision Workings'!$C$10:$AT$69,5,FALSE)</f>
        <v>14.715</v>
      </c>
      <c r="H33" s="165"/>
      <c r="I33" s="168"/>
      <c r="J33" s="86">
        <f>IF(K33="Shear",VLOOKUP(C31,'Tie-Down Provision Workings'!$C$10:$AT$69,13,FALSE),VLOOKUP(C31,'Tie-Down Provision Workings'!$C$10:$AT$69,12,FALSE))</f>
        <v>2500</v>
      </c>
      <c r="K33" s="87" t="str">
        <f>VLOOKUP(C31,'Tie-Down Provision Workings'!$C$10:$AT$69,41,FALSE)</f>
        <v>Shear</v>
      </c>
      <c r="L33" s="86">
        <f>VLOOKUP(C31,'Tie-Down Provision Workings'!$C$10:$AT$69,38,FALSE)</f>
        <v>14.715</v>
      </c>
      <c r="M33" s="88">
        <f>VLOOKUP(C31,'Tie-Down Provision Workings'!$C$10:$AT$69,44,FALSE)</f>
        <v>169.89466530750934</v>
      </c>
    </row>
    <row r="34" spans="2:13" ht="15" customHeight="1" x14ac:dyDescent="0.25">
      <c r="B34" s="185">
        <v>8</v>
      </c>
      <c r="C34" s="194" t="str">
        <f>VLOOKUP(B34,'Tie-Down Provision Workings'!$B$10:$AT$69,2,FALSE)</f>
        <v>Fire Extinguisher fastened to the rear wall</v>
      </c>
      <c r="D34" s="197">
        <f>VLOOKUP(C34,'Tie-Down Provision Workings'!$C$10:$AT$69,2,FALSE)</f>
        <v>4</v>
      </c>
      <c r="E34" s="22" t="s">
        <v>73</v>
      </c>
      <c r="F34" s="119">
        <f t="shared" si="12"/>
        <v>4</v>
      </c>
      <c r="G34" s="80">
        <f>VLOOKUP(C34,'Tie-Down Provision Workings'!$C$10:$AT$69,3,FALSE)</f>
        <v>156.96</v>
      </c>
      <c r="H34" s="169" t="str">
        <f>VLOOKUP(C34,'Tie-Down Provision Workings'!$C$10:$AT$69,8,FALSE)</f>
        <v>M6</v>
      </c>
      <c r="I34" s="160">
        <f>'Tie-Down Provision Workings'!S17</f>
        <v>3</v>
      </c>
      <c r="J34" s="80">
        <f>IF(K34="Shear",VLOOKUP(C34,'Tie-Down Provision Workings'!$C$10:$AT$69,13,FALSE),VLOOKUP(C34,'Tie-Down Provision Workings'!$C$10:$AT$69,12,FALSE))</f>
        <v>11452.16</v>
      </c>
      <c r="K34" s="81" t="str">
        <f>VLOOKUP(C34,'Tie-Down Provision Workings'!$C$10:$AT$69,39,FALSE)</f>
        <v>Tensile</v>
      </c>
      <c r="L34" s="80">
        <f>VLOOKUP(C34,'Tie-Down Provision Workings'!$C$10:$AT$69,36,FALSE)</f>
        <v>52.32</v>
      </c>
      <c r="M34" s="82">
        <f>VLOOKUP(C34,'Tie-Down Provision Workings'!$C$10:$AT$69,42,FALSE)</f>
        <v>218.8868501529052</v>
      </c>
    </row>
    <row r="35" spans="2:13" x14ac:dyDescent="0.25">
      <c r="B35" s="186"/>
      <c r="C35" s="195"/>
      <c r="D35" s="198"/>
      <c r="E35" s="23" t="s">
        <v>74</v>
      </c>
      <c r="F35" s="119">
        <f t="shared" si="13"/>
        <v>2</v>
      </c>
      <c r="G35" s="80">
        <f>VLOOKUP(C34,'Tie-Down Provision Workings'!$C$10:$AT$69,4,FALSE)</f>
        <v>78.48</v>
      </c>
      <c r="H35" s="170"/>
      <c r="I35" s="161"/>
      <c r="J35" s="80">
        <f>IF(K35="Shear",VLOOKUP(C34,'Tie-Down Provision Workings'!$C$10:$AT$69,13,FALSE),VLOOKUP(C34,'Tie-Down Provision Workings'!$C$10:$AT$69,12,FALSE))</f>
        <v>5726.08</v>
      </c>
      <c r="K35" s="81" t="str">
        <f>VLOOKUP(C34,'Tie-Down Provision Workings'!$C$10:$AT$69,40,FALSE)</f>
        <v>Shear</v>
      </c>
      <c r="L35" s="80">
        <f>VLOOKUP(C34,'Tie-Down Provision Workings'!$C$10:$AT$69,37,FALSE)</f>
        <v>26.16</v>
      </c>
      <c r="M35" s="82">
        <f>VLOOKUP(C34,'Tie-Down Provision Workings'!$C$10:$AT$69,43,FALSE)</f>
        <v>218.8868501529052</v>
      </c>
    </row>
    <row r="36" spans="2:13" x14ac:dyDescent="0.25">
      <c r="B36" s="187"/>
      <c r="C36" s="196"/>
      <c r="D36" s="199"/>
      <c r="E36" s="23" t="s">
        <v>2</v>
      </c>
      <c r="F36" s="119">
        <f t="shared" si="14"/>
        <v>1.5</v>
      </c>
      <c r="G36" s="80">
        <f>VLOOKUP(C34,'Tie-Down Provision Workings'!$C$10:$AT$69,5,FALSE)</f>
        <v>58.86</v>
      </c>
      <c r="H36" s="171"/>
      <c r="I36" s="162"/>
      <c r="J36" s="80">
        <f>IF(K36="Shear",VLOOKUP(C34,'Tie-Down Provision Workings'!$C$10:$AT$69,13,FALSE),VLOOKUP(C34,'Tie-Down Provision Workings'!$C$10:$AT$69,12,FALSE))</f>
        <v>5726.08</v>
      </c>
      <c r="K36" s="81" t="str">
        <f>VLOOKUP(C34,'Tie-Down Provision Workings'!$C$10:$AT$69,41,FALSE)</f>
        <v>Shear</v>
      </c>
      <c r="L36" s="80">
        <f>VLOOKUP(C34,'Tie-Down Provision Workings'!$C$10:$AT$69,38,FALSE)</f>
        <v>19.62</v>
      </c>
      <c r="M36" s="82">
        <f>VLOOKUP(C34,'Tie-Down Provision Workings'!$C$10:$AT$69,44,FALSE)</f>
        <v>291.84913353720691</v>
      </c>
    </row>
    <row r="37" spans="2:13" x14ac:dyDescent="0.25">
      <c r="B37" s="180">
        <v>9</v>
      </c>
      <c r="C37" s="188" t="str">
        <f>VLOOKUP(B37,'Tie-Down Provision Workings'!$B$10:$AT$69,2,FALSE)</f>
        <v>Safety Harness with Bag strap to the rear wall</v>
      </c>
      <c r="D37" s="191">
        <f>VLOOKUP(C37,'Tie-Down Provision Workings'!$C$10:$AT$69,2,FALSE)</f>
        <v>10</v>
      </c>
      <c r="E37" s="18" t="s">
        <v>73</v>
      </c>
      <c r="F37" s="63">
        <f t="shared" si="15"/>
        <v>4</v>
      </c>
      <c r="G37" s="86">
        <f>VLOOKUP(C37,'Tie-Down Provision Workings'!$C$10:$AT$69,3,FALSE)</f>
        <v>392.40000000000003</v>
      </c>
      <c r="H37" s="163" t="str">
        <f>VLOOKUP(C37,'Tie-Down Provision Workings'!$C$10:$AT$69,8,FALSE)</f>
        <v>Camlock Strap (1")</v>
      </c>
      <c r="I37" s="175">
        <f>'Tie-Down Provision Workings'!S18</f>
        <v>2</v>
      </c>
      <c r="J37" s="86">
        <f>IF(K37="Shear",VLOOKUP(C37,'Tie-Down Provision Workings'!$C$10:$AT$69,13,FALSE),VLOOKUP(C37,'Tie-Down Provision Workings'!$C$10:$AT$69,12,FALSE))</f>
        <v>2500</v>
      </c>
      <c r="K37" s="87" t="str">
        <f>VLOOKUP(C37,'Tie-Down Provision Workings'!$C$10:$AT$69,39,FALSE)</f>
        <v>Tensile</v>
      </c>
      <c r="L37" s="86">
        <f>VLOOKUP(C37,'Tie-Down Provision Workings'!$C$10:$AT$69,36,FALSE)</f>
        <v>196.20000000000002</v>
      </c>
      <c r="M37" s="88">
        <f>VLOOKUP(C37,'Tie-Down Provision Workings'!$C$10:$AT$69,42,FALSE)</f>
        <v>12.7420998980632</v>
      </c>
    </row>
    <row r="38" spans="2:13" x14ac:dyDescent="0.25">
      <c r="B38" s="181"/>
      <c r="C38" s="189"/>
      <c r="D38" s="192"/>
      <c r="E38" s="20" t="s">
        <v>74</v>
      </c>
      <c r="F38" s="63">
        <f t="shared" si="16"/>
        <v>2</v>
      </c>
      <c r="G38" s="86">
        <f>VLOOKUP(C37,'Tie-Down Provision Workings'!$C$10:$AT$69,4,FALSE)</f>
        <v>196.20000000000002</v>
      </c>
      <c r="H38" s="164"/>
      <c r="I38" s="176"/>
      <c r="J38" s="86">
        <f>IF(K38="Shear",VLOOKUP(C37,'Tie-Down Provision Workings'!$C$10:$AT$69,13,FALSE),VLOOKUP(C37,'Tie-Down Provision Workings'!$C$10:$AT$69,12,FALSE))</f>
        <v>2500</v>
      </c>
      <c r="K38" s="87" t="str">
        <f>VLOOKUP(C37,'Tie-Down Provision Workings'!$C$10:$AT$69,40,FALSE)</f>
        <v>Shear</v>
      </c>
      <c r="L38" s="86">
        <f>VLOOKUP(C37,'Tie-Down Provision Workings'!$C$10:$AT$69,37,FALSE)</f>
        <v>98.100000000000009</v>
      </c>
      <c r="M38" s="88">
        <f>VLOOKUP(C37,'Tie-Down Provision Workings'!$C$10:$AT$69,43,FALSE)</f>
        <v>25.484199796126401</v>
      </c>
    </row>
    <row r="39" spans="2:13" x14ac:dyDescent="0.25">
      <c r="B39" s="182"/>
      <c r="C39" s="190"/>
      <c r="D39" s="193"/>
      <c r="E39" s="20" t="s">
        <v>2</v>
      </c>
      <c r="F39" s="61">
        <f t="shared" si="17"/>
        <v>1.5</v>
      </c>
      <c r="G39" s="86">
        <f>VLOOKUP(C37,'Tie-Down Provision Workings'!$C$10:$AT$69,5,FALSE)</f>
        <v>147.15</v>
      </c>
      <c r="H39" s="165"/>
      <c r="I39" s="177"/>
      <c r="J39" s="86">
        <f>IF(K39="Shear",VLOOKUP(C37,'Tie-Down Provision Workings'!$C$10:$AT$69,13,FALSE),VLOOKUP(C37,'Tie-Down Provision Workings'!$C$10:$AT$69,12,FALSE))</f>
        <v>2500</v>
      </c>
      <c r="K39" s="87" t="str">
        <f>VLOOKUP(C37,'Tie-Down Provision Workings'!$C$10:$AT$69,41,FALSE)</f>
        <v>Shear</v>
      </c>
      <c r="L39" s="86">
        <f>VLOOKUP(C37,'Tie-Down Provision Workings'!$C$10:$AT$69,38,FALSE)</f>
        <v>73.575000000000003</v>
      </c>
      <c r="M39" s="88">
        <f>VLOOKUP(C37,'Tie-Down Provision Workings'!$C$10:$AT$69,44,FALSE)</f>
        <v>33.97893306150187</v>
      </c>
    </row>
    <row r="40" spans="2:13" ht="15.75" thickBot="1" x14ac:dyDescent="0.3">
      <c r="C40" s="108"/>
      <c r="D40" s="14"/>
      <c r="E40" s="109"/>
    </row>
    <row r="41" spans="2:13" ht="15" customHeight="1" thickTop="1" thickBot="1" x14ac:dyDescent="0.3">
      <c r="B41" s="15"/>
      <c r="C41" s="15"/>
      <c r="D41" s="15"/>
      <c r="E41" s="226" t="s">
        <v>69</v>
      </c>
      <c r="F41" s="215"/>
      <c r="G41" s="227"/>
      <c r="H41" s="214" t="s">
        <v>67</v>
      </c>
      <c r="I41" s="215"/>
      <c r="J41" s="215"/>
      <c r="K41" s="215"/>
      <c r="L41" s="215"/>
      <c r="M41" s="216"/>
    </row>
    <row r="42" spans="2:13" ht="45.75" thickTop="1" x14ac:dyDescent="0.25">
      <c r="B42" s="75" t="s">
        <v>0</v>
      </c>
      <c r="C42" s="76" t="s">
        <v>1</v>
      </c>
      <c r="D42" s="76" t="s">
        <v>95</v>
      </c>
      <c r="E42" s="16" t="s">
        <v>75</v>
      </c>
      <c r="F42" s="16" t="s">
        <v>76</v>
      </c>
      <c r="G42" s="16" t="s">
        <v>78</v>
      </c>
      <c r="H42" s="16" t="s">
        <v>68</v>
      </c>
      <c r="I42" s="16" t="s">
        <v>70</v>
      </c>
      <c r="J42" s="16" t="s">
        <v>66</v>
      </c>
      <c r="K42" s="16" t="s">
        <v>77</v>
      </c>
      <c r="L42" s="16" t="s">
        <v>71</v>
      </c>
      <c r="M42" s="17" t="s">
        <v>72</v>
      </c>
    </row>
    <row r="43" spans="2:13" x14ac:dyDescent="0.25">
      <c r="B43" s="185">
        <v>10</v>
      </c>
      <c r="C43" s="220" t="str">
        <f>VLOOKUP(B43,'Tie-Down Provision Workings'!$B$10:$AT$69,2,FALSE)</f>
        <v>DCC Touch Panel fastened to the rear wall</v>
      </c>
      <c r="D43" s="223">
        <f>VLOOKUP(C43,'Tie-Down Provision Workings'!$C$10:$AT$69,2,FALSE)</f>
        <v>10</v>
      </c>
      <c r="E43" s="22" t="s">
        <v>73</v>
      </c>
      <c r="F43" s="62">
        <f t="shared" si="12"/>
        <v>4</v>
      </c>
      <c r="G43" s="80">
        <f>VLOOKUP(C43,'Tie-Down Provision Workings'!$C$10:$AT$69,3,FALSE)</f>
        <v>392.40000000000003</v>
      </c>
      <c r="H43" s="172" t="str">
        <f>VLOOKUP(C43,'Tie-Down Provision Workings'!$C$10:$AT$69,8,FALSE)</f>
        <v>M6</v>
      </c>
      <c r="I43" s="172">
        <f>'Tie-Down Provision Workings'!S19</f>
        <v>4</v>
      </c>
      <c r="J43" s="80">
        <f>IF(K43="Shear",VLOOKUP(C43,'Tie-Down Provision Workings'!$C$10:$AT$69,13,FALSE),VLOOKUP(C43,'Tie-Down Provision Workings'!$C$10:$AT$69,12,FALSE))</f>
        <v>11452.16</v>
      </c>
      <c r="K43" s="81" t="str">
        <f>VLOOKUP(C43,'Tie-Down Provision Workings'!$C$10:$AT$69,39,FALSE)</f>
        <v>Tensile</v>
      </c>
      <c r="L43" s="80">
        <f>VLOOKUP(C43,'Tie-Down Provision Workings'!$C$10:$AT$69,36,FALSE)</f>
        <v>98.100000000000009</v>
      </c>
      <c r="M43" s="82">
        <f>VLOOKUP(C43,'Tie-Down Provision Workings'!$C$10:$AT$69,42,FALSE)</f>
        <v>116.73965341488277</v>
      </c>
    </row>
    <row r="44" spans="2:13" x14ac:dyDescent="0.25">
      <c r="B44" s="186"/>
      <c r="C44" s="221"/>
      <c r="D44" s="224"/>
      <c r="E44" s="23" t="s">
        <v>74</v>
      </c>
      <c r="F44" s="62">
        <f t="shared" si="13"/>
        <v>2</v>
      </c>
      <c r="G44" s="80">
        <f>VLOOKUP(C43,'Tie-Down Provision Workings'!$C$10:$AT$69,4,FALSE)</f>
        <v>196.20000000000002</v>
      </c>
      <c r="H44" s="173"/>
      <c r="I44" s="173"/>
      <c r="J44" s="80">
        <f>IF(K44="Shear",VLOOKUP(C43,'Tie-Down Provision Workings'!$C$10:$AT$69,13,FALSE),VLOOKUP(C43,'Tie-Down Provision Workings'!$C$10:$AT$69,12,FALSE))</f>
        <v>5726.08</v>
      </c>
      <c r="K44" s="81" t="str">
        <f>VLOOKUP(C43,'Tie-Down Provision Workings'!$C$10:$AT$69,40,FALSE)</f>
        <v>Shear</v>
      </c>
      <c r="L44" s="80">
        <f>VLOOKUP(C43,'Tie-Down Provision Workings'!$C$10:$AT$69,37,FALSE)</f>
        <v>49.050000000000004</v>
      </c>
      <c r="M44" s="82">
        <f>VLOOKUP(C43,'Tie-Down Provision Workings'!$C$10:$AT$69,43,FALSE)</f>
        <v>116.73965341488277</v>
      </c>
    </row>
    <row r="45" spans="2:13" x14ac:dyDescent="0.25">
      <c r="B45" s="187"/>
      <c r="C45" s="222"/>
      <c r="D45" s="225"/>
      <c r="E45" s="23" t="s">
        <v>2</v>
      </c>
      <c r="F45" s="60">
        <f t="shared" si="14"/>
        <v>1.5</v>
      </c>
      <c r="G45" s="80">
        <f>VLOOKUP(C43,'Tie-Down Provision Workings'!$C$10:$AT$69,5,FALSE)</f>
        <v>147.15</v>
      </c>
      <c r="H45" s="174"/>
      <c r="I45" s="174"/>
      <c r="J45" s="80">
        <f>IF(K45="Shear",VLOOKUP(C43,'Tie-Down Provision Workings'!$C$10:$AT$69,13,FALSE),VLOOKUP(C43,'Tie-Down Provision Workings'!$C$10:$AT$69,12,FALSE))</f>
        <v>5726.08</v>
      </c>
      <c r="K45" s="81" t="str">
        <f>VLOOKUP(C43,'Tie-Down Provision Workings'!$C$10:$AT$69,41,FALSE)</f>
        <v>Shear</v>
      </c>
      <c r="L45" s="80">
        <f>VLOOKUP(C43,'Tie-Down Provision Workings'!$C$10:$AT$69,38,FALSE)</f>
        <v>36.787500000000001</v>
      </c>
      <c r="M45" s="82">
        <f>VLOOKUP(C43,'Tie-Down Provision Workings'!$C$10:$AT$69,44,FALSE)</f>
        <v>155.65287121984369</v>
      </c>
    </row>
    <row r="46" spans="2:13" ht="15" customHeight="1" x14ac:dyDescent="0.25">
      <c r="B46" s="180">
        <v>11</v>
      </c>
      <c r="C46" s="203" t="str">
        <f>VLOOKUP(B46,'Tie-Down Provision Workings'!$B$10:$AT$69,2,FALSE)</f>
        <v>Generator fastened to the base structure at Outdoor Facilities</v>
      </c>
      <c r="D46" s="206">
        <f>VLOOKUP(C46,'Tie-Down Provision Workings'!$C$10:$AT$69,2,FALSE)</f>
        <v>1269</v>
      </c>
      <c r="E46" s="18" t="s">
        <v>73</v>
      </c>
      <c r="F46" s="63">
        <f t="shared" si="15"/>
        <v>4</v>
      </c>
      <c r="G46" s="86">
        <f>VLOOKUP(C46,'Tie-Down Provision Workings'!$C$10:$AT$69,3,FALSE)</f>
        <v>49795.560000000005</v>
      </c>
      <c r="H46" s="175" t="str">
        <f>VLOOKUP(C46,'Tie-Down Provision Workings'!$C$10:$AT$69,8,FALSE)</f>
        <v>M12</v>
      </c>
      <c r="I46" s="175">
        <f>'Tie-Down Provision Workings'!S20</f>
        <v>10</v>
      </c>
      <c r="J46" s="86">
        <f>IF(K46="Shear",VLOOKUP(C46,'Tie-Down Provision Workings'!$C$10:$AT$69,13,FALSE),VLOOKUP(C46,'Tie-Down Provision Workings'!$C$10:$AT$69,12,FALSE))</f>
        <v>24399.040000000001</v>
      </c>
      <c r="K46" s="87" t="str">
        <f>VLOOKUP(C46,'Tie-Down Provision Workings'!$C$10:$AT$69,39,FALSE)</f>
        <v>Shear</v>
      </c>
      <c r="L46" s="86">
        <f>VLOOKUP(C46,'Tie-Down Provision Workings'!$C$10:$AT$69,36,FALSE)</f>
        <v>4979.5560000000005</v>
      </c>
      <c r="M46" s="88">
        <f>VLOOKUP(C46,'Tie-Down Provision Workings'!$C$10:$AT$69,42,FALSE)</f>
        <v>4.8998424759155235</v>
      </c>
    </row>
    <row r="47" spans="2:13" x14ac:dyDescent="0.25">
      <c r="B47" s="181"/>
      <c r="C47" s="204"/>
      <c r="D47" s="207"/>
      <c r="E47" s="20" t="s">
        <v>74</v>
      </c>
      <c r="F47" s="63">
        <f t="shared" si="16"/>
        <v>2</v>
      </c>
      <c r="G47" s="86">
        <f>VLOOKUP(C46,'Tie-Down Provision Workings'!$C$10:$AT$69,4,FALSE)</f>
        <v>24897.780000000002</v>
      </c>
      <c r="H47" s="176"/>
      <c r="I47" s="176"/>
      <c r="J47" s="86">
        <f>IF(K47="Shear",VLOOKUP(C46,'Tie-Down Provision Workings'!$C$10:$AT$69,13,FALSE),VLOOKUP(C46,'Tie-Down Provision Workings'!$C$10:$AT$69,12,FALSE))</f>
        <v>48798.080000000002</v>
      </c>
      <c r="K47" s="87" t="str">
        <f>VLOOKUP(C46,'Tie-Down Provision Workings'!$C$10:$AT$69,40,FALSE)</f>
        <v>Tensile</v>
      </c>
      <c r="L47" s="86">
        <f>VLOOKUP(C46,'Tie-Down Provision Workings'!$C$10:$AT$69,37,FALSE)</f>
        <v>2489.7780000000002</v>
      </c>
      <c r="M47" s="88">
        <f>VLOOKUP(C46,'Tie-Down Provision Workings'!$C$10:$AT$69,43,FALSE)</f>
        <v>19.599369903662094</v>
      </c>
    </row>
    <row r="48" spans="2:13" x14ac:dyDescent="0.25">
      <c r="B48" s="182"/>
      <c r="C48" s="205"/>
      <c r="D48" s="208"/>
      <c r="E48" s="20" t="s">
        <v>2</v>
      </c>
      <c r="F48" s="61">
        <f t="shared" si="17"/>
        <v>1.5</v>
      </c>
      <c r="G48" s="86">
        <f>VLOOKUP(C46,'Tie-Down Provision Workings'!$C$10:$AT$64,5,FALSE)</f>
        <v>18673.335000000003</v>
      </c>
      <c r="H48" s="177"/>
      <c r="I48" s="177"/>
      <c r="J48" s="86">
        <f>IF(K48="Shear",VLOOKUP(C46,'Tie-Down Provision Workings'!$C$10:$AT$69,13,FALSE),VLOOKUP(C46,'Tie-Down Provision Workings'!$C$10:$AT$69,12,FALSE))</f>
        <v>24399.040000000001</v>
      </c>
      <c r="K48" s="87" t="str">
        <f>VLOOKUP(C46,'Tie-Down Provision Workings'!$C$10:$AT$69,41,FALSE)</f>
        <v>Shear</v>
      </c>
      <c r="L48" s="86">
        <f>VLOOKUP(C46,'Tie-Down Provision Workings'!$C$10:$AT$69,38,FALSE)</f>
        <v>1867.3335000000002</v>
      </c>
      <c r="M48" s="88">
        <f>VLOOKUP(C46,'Tie-Down Provision Workings'!$C$10:$AT$69,44,FALSE)</f>
        <v>13.066246602441394</v>
      </c>
    </row>
    <row r="49" spans="2:13" ht="15" customHeight="1" x14ac:dyDescent="0.25">
      <c r="B49" s="185">
        <v>12</v>
      </c>
      <c r="C49" s="220" t="str">
        <f>VLOOKUP(B49,'Tie-Down Provision Workings'!$B$10:$AT$69,2,FALSE)</f>
        <v>Outdoor Facilities Ladder latched in the Outdoor Facilities Ladder Storage</v>
      </c>
      <c r="D49" s="223">
        <f>VLOOKUP(C49,'Tie-Down Provision Workings'!$C$10:$AT$69,2,FALSE)</f>
        <v>20</v>
      </c>
      <c r="E49" s="22" t="s">
        <v>73</v>
      </c>
      <c r="F49" s="62">
        <f t="shared" ref="F49" si="21">$D$4</f>
        <v>4</v>
      </c>
      <c r="G49" s="80">
        <f>VLOOKUP(C49,'Tie-Down Provision Workings'!$C$10:$AT$69,3,FALSE)</f>
        <v>784.80000000000007</v>
      </c>
      <c r="H49" s="133" t="s">
        <v>38</v>
      </c>
      <c r="I49" s="133">
        <v>12</v>
      </c>
      <c r="J49" s="62">
        <v>21018.240000000002</v>
      </c>
      <c r="K49" s="81" t="str">
        <f>VLOOKUP(C49,'Tie-Down Provision Workings'!$C$10:$AT$69,39,FALSE)</f>
        <v>Tensile</v>
      </c>
      <c r="L49" s="80">
        <f>G49/I49</f>
        <v>65.400000000000006</v>
      </c>
      <c r="M49" s="82">
        <f>J49/L49</f>
        <v>321.37981651376145</v>
      </c>
    </row>
    <row r="50" spans="2:13" x14ac:dyDescent="0.25">
      <c r="B50" s="186"/>
      <c r="C50" s="221"/>
      <c r="D50" s="224"/>
      <c r="E50" s="23" t="s">
        <v>74</v>
      </c>
      <c r="F50" s="62">
        <f t="shared" ref="F50" si="22">$D$5</f>
        <v>2</v>
      </c>
      <c r="G50" s="80">
        <f>VLOOKUP(C49,'Tie-Down Provision Workings'!$C$10:$AT$69,4,FALSE)</f>
        <v>392.40000000000003</v>
      </c>
      <c r="H50" s="133" t="s">
        <v>38</v>
      </c>
      <c r="I50" s="133">
        <v>12</v>
      </c>
      <c r="J50" s="62">
        <v>10509.12</v>
      </c>
      <c r="K50" s="81" t="str">
        <f>VLOOKUP(C49,'Tie-Down Provision Workings'!$C$10:$AT$69,40,FALSE)</f>
        <v>Shear</v>
      </c>
      <c r="L50" s="80">
        <f>G50/I50</f>
        <v>32.700000000000003</v>
      </c>
      <c r="M50" s="82">
        <f>J50/L50</f>
        <v>321.37981651376145</v>
      </c>
    </row>
    <row r="51" spans="2:13" x14ac:dyDescent="0.25">
      <c r="B51" s="187"/>
      <c r="C51" s="222"/>
      <c r="D51" s="225"/>
      <c r="E51" s="23" t="s">
        <v>2</v>
      </c>
      <c r="F51" s="60">
        <f t="shared" ref="F51" si="23">$D$6</f>
        <v>1.5</v>
      </c>
      <c r="G51" s="80">
        <f>VLOOKUP(C49,'Tie-Down Provision Workings'!$C$10:$AT$69,5,FALSE)</f>
        <v>294.3</v>
      </c>
      <c r="H51" s="133" t="str">
        <f>VLOOKUP(C49,'Tie-Down Provision Workings'!$C$10:$AT$69,8,FALSE)</f>
        <v>Spring Latch</v>
      </c>
      <c r="I51" s="133">
        <f>'Tie-Down Provision Workings'!S21</f>
        <v>1</v>
      </c>
      <c r="J51" s="62">
        <f>IF(K51="Shear",VLOOKUP(C49,'Tie-Down Provision Workings'!$C$10:$AT$64,13,FALSE),VLOOKUP(C49,'Tie-Down Provision Workings'!$C$10:$AT$64,12,FALSE))</f>
        <v>9330.5301811616864</v>
      </c>
      <c r="K51" s="81" t="str">
        <f>VLOOKUP(C49,'Tie-Down Provision Workings'!$C$10:$AT$69,41,FALSE)</f>
        <v>Shear</v>
      </c>
      <c r="L51" s="80">
        <f>VLOOKUP(C49,'Tie-Down Provision Workings'!$C$10:$AT$69,38,FALSE)</f>
        <v>294.3</v>
      </c>
      <c r="M51" s="82">
        <f>VLOOKUP(C49,'Tie-Down Provision Workings'!$C$10:$AT$69,44,FALSE)</f>
        <v>31.704146045401583</v>
      </c>
    </row>
    <row r="52" spans="2:13" ht="15" customHeight="1" x14ac:dyDescent="0.25">
      <c r="B52" s="180">
        <v>13</v>
      </c>
      <c r="C52" s="203" t="str">
        <f>VLOOKUP(B52,'Tie-Down Provision Workings'!$B$10:$AT$69,2,FALSE)</f>
        <v xml:space="preserve">Outdoor Facilities Ladder Storage fastened to the front bottom beam at Outdoor Facilities Area </v>
      </c>
      <c r="D52" s="206">
        <f>VLOOKUP(C52,'Tie-Down Provision Workings'!$C$10:$AT$69,2,FALSE)</f>
        <v>35</v>
      </c>
      <c r="E52" s="18" t="s">
        <v>73</v>
      </c>
      <c r="F52" s="63">
        <f t="shared" si="12"/>
        <v>4</v>
      </c>
      <c r="G52" s="86">
        <f>VLOOKUP(C52,'Tie-Down Provision Workings'!$C$10:$AT$69,3,FALSE)</f>
        <v>1373.4</v>
      </c>
      <c r="H52" s="175" t="str">
        <f>VLOOKUP(C52,'Tie-Down Provision Workings'!$C$10:$AT$69,8,FALSE)</f>
        <v>M8</v>
      </c>
      <c r="I52" s="175">
        <f>'Tie-Down Provision Workings'!S22</f>
        <v>12</v>
      </c>
      <c r="J52" s="86">
        <f>IF(K52="Shear",VLOOKUP(C52,'Tie-Down Provision Workings'!$C$10:$AT$69,13,FALSE),VLOOKUP(C52,'Tie-Down Provision Workings'!$C$10:$AT$69,12,FALSE))</f>
        <v>21018.240000000002</v>
      </c>
      <c r="K52" s="87" t="str">
        <f>VLOOKUP(C52,'Tie-Down Provision Workings'!$C$10:$AT$69,39,FALSE)</f>
        <v>Tensile</v>
      </c>
      <c r="L52" s="86">
        <f>VLOOKUP(C52,'Tie-Down Provision Workings'!$C$10:$AT$69,36,FALSE)</f>
        <v>114.45</v>
      </c>
      <c r="M52" s="88">
        <f>VLOOKUP(C52,'Tie-Down Provision Workings'!$C$10:$AT$69,42,FALSE)</f>
        <v>183.64560943643514</v>
      </c>
    </row>
    <row r="53" spans="2:13" x14ac:dyDescent="0.25">
      <c r="B53" s="181"/>
      <c r="C53" s="204"/>
      <c r="D53" s="207"/>
      <c r="E53" s="20" t="s">
        <v>74</v>
      </c>
      <c r="F53" s="63">
        <f t="shared" si="13"/>
        <v>2</v>
      </c>
      <c r="G53" s="86">
        <f>VLOOKUP(C52,'Tie-Down Provision Workings'!$C$10:$AT$69,4,FALSE)</f>
        <v>686.7</v>
      </c>
      <c r="H53" s="176"/>
      <c r="I53" s="176"/>
      <c r="J53" s="86">
        <f>IF(K53="Shear",VLOOKUP(C52,'Tie-Down Provision Workings'!$C$10:$AT$69,13,FALSE),VLOOKUP(C52,'Tie-Down Provision Workings'!$C$10:$AT$69,12,FALSE))</f>
        <v>10509.12</v>
      </c>
      <c r="K53" s="87" t="str">
        <f>VLOOKUP(C52,'Tie-Down Provision Workings'!$C$10:$AT$69,40,FALSE)</f>
        <v>Shear</v>
      </c>
      <c r="L53" s="86">
        <f>VLOOKUP(C52,'Tie-Down Provision Workings'!$C$10:$AT$69,37,FALSE)</f>
        <v>57.225000000000001</v>
      </c>
      <c r="M53" s="88">
        <f>VLOOKUP(C52,'Tie-Down Provision Workings'!$C$10:$AT$69,43,FALSE)</f>
        <v>183.64560943643514</v>
      </c>
    </row>
    <row r="54" spans="2:13" x14ac:dyDescent="0.25">
      <c r="B54" s="182"/>
      <c r="C54" s="205"/>
      <c r="D54" s="208"/>
      <c r="E54" s="20" t="s">
        <v>2</v>
      </c>
      <c r="F54" s="61">
        <f t="shared" si="14"/>
        <v>1.5</v>
      </c>
      <c r="G54" s="86">
        <f>VLOOKUP(C52,'Tie-Down Provision Workings'!$C$10:$AT$69,5,FALSE)</f>
        <v>515.02500000000009</v>
      </c>
      <c r="H54" s="177"/>
      <c r="I54" s="177"/>
      <c r="J54" s="86">
        <f>IF(K54="Shear",VLOOKUP(C52,'Tie-Down Provision Workings'!$C$10:$AT$69,13,FALSE),VLOOKUP(C52,'Tie-Down Provision Workings'!$C$10:$AT$69,12,FALSE))</f>
        <v>10509.12</v>
      </c>
      <c r="K54" s="87" t="str">
        <f>VLOOKUP(C52,'Tie-Down Provision Workings'!$C$10:$AT$69,41,FALSE)</f>
        <v>Shear</v>
      </c>
      <c r="L54" s="86">
        <f>VLOOKUP(C52,'Tie-Down Provision Workings'!$C$10:$AT$69,38,FALSE)</f>
        <v>42.91875000000001</v>
      </c>
      <c r="M54" s="88">
        <f>VLOOKUP(C52,'Tie-Down Provision Workings'!$C$10:$AT$69,44,FALSE)</f>
        <v>244.86081258191345</v>
      </c>
    </row>
    <row r="55" spans="2:13" x14ac:dyDescent="0.25">
      <c r="B55" s="185">
        <v>14</v>
      </c>
      <c r="C55" s="220" t="str">
        <f>VLOOKUP(B55,'Tie-Down Provision Workings'!$B$10:$AT$69,2,FALSE)</f>
        <v>Rear Door Ladder latched in the Rear Door Ladder Storage</v>
      </c>
      <c r="D55" s="223">
        <f>VLOOKUP(C55,'Tie-Down Provision Workings'!$C$10:$AT$69,2,FALSE)</f>
        <v>20</v>
      </c>
      <c r="E55" s="22" t="s">
        <v>73</v>
      </c>
      <c r="F55" s="62">
        <f t="shared" si="15"/>
        <v>4</v>
      </c>
      <c r="G55" s="80">
        <f>VLOOKUP(C55,'Tie-Down Provision Workings'!$C$10:$AT$69,3,FALSE)</f>
        <v>784.80000000000007</v>
      </c>
      <c r="H55" s="133" t="s">
        <v>38</v>
      </c>
      <c r="I55" s="133">
        <v>20</v>
      </c>
      <c r="J55" s="80">
        <v>21018.240000000002</v>
      </c>
      <c r="K55" s="81" t="str">
        <f>VLOOKUP(C55,'Tie-Down Provision Workings'!$C$10:$AT$69,39,FALSE)</f>
        <v>Tensile</v>
      </c>
      <c r="L55" s="80">
        <f>G55/I55</f>
        <v>39.24</v>
      </c>
      <c r="M55" s="82">
        <f>J55/L55</f>
        <v>535.63302752293578</v>
      </c>
    </row>
    <row r="56" spans="2:13" x14ac:dyDescent="0.25">
      <c r="B56" s="186"/>
      <c r="C56" s="221"/>
      <c r="D56" s="224"/>
      <c r="E56" s="23" t="s">
        <v>74</v>
      </c>
      <c r="F56" s="62">
        <f t="shared" si="16"/>
        <v>2</v>
      </c>
      <c r="G56" s="80">
        <f>VLOOKUP(C55,'Tie-Down Provision Workings'!$C$10:$AT$69,4,FALSE)</f>
        <v>392.40000000000003</v>
      </c>
      <c r="H56" s="133" t="s">
        <v>38</v>
      </c>
      <c r="I56" s="133">
        <v>20</v>
      </c>
      <c r="J56" s="80">
        <v>10509.12</v>
      </c>
      <c r="K56" s="81" t="str">
        <f>VLOOKUP(C55,'Tie-Down Provision Workings'!$C$10:$AT$69,40,FALSE)</f>
        <v>Shear</v>
      </c>
      <c r="L56" s="80">
        <f>G56/I56</f>
        <v>19.62</v>
      </c>
      <c r="M56" s="82">
        <f>J56/L56</f>
        <v>535.63302752293578</v>
      </c>
    </row>
    <row r="57" spans="2:13" x14ac:dyDescent="0.25">
      <c r="B57" s="187"/>
      <c r="C57" s="222"/>
      <c r="D57" s="225"/>
      <c r="E57" s="23" t="s">
        <v>2</v>
      </c>
      <c r="F57" s="60">
        <f t="shared" si="17"/>
        <v>1.5</v>
      </c>
      <c r="G57" s="80">
        <f>VLOOKUP(C55,'Tie-Down Provision Workings'!$C$10:$AT$69,5,FALSE)</f>
        <v>294.3</v>
      </c>
      <c r="H57" s="133" t="str">
        <f>VLOOKUP(C55,'Tie-Down Provision Workings'!$C$10:$AT$69,8,FALSE)</f>
        <v>Spring Latch</v>
      </c>
      <c r="I57" s="133">
        <f>'Tie-Down Provision Workings'!S23</f>
        <v>1</v>
      </c>
      <c r="J57" s="80">
        <f>IF(K57="Shear",VLOOKUP(C55,'Tie-Down Provision Workings'!$C$10:$AT$69,13,FALSE),VLOOKUP(C55,'Tie-Down Provision Workings'!$C$10:$AT$69,12,FALSE))</f>
        <v>9330.5301811616864</v>
      </c>
      <c r="K57" s="81" t="str">
        <f>VLOOKUP(C55,'Tie-Down Provision Workings'!$C$10:$AT$69,41,FALSE)</f>
        <v>Shear</v>
      </c>
      <c r="L57" s="62">
        <f>VLOOKUP(C55,'Tie-Down Provision Workings'!$C$10:$AT$64,38,FALSE)</f>
        <v>294.3</v>
      </c>
      <c r="M57" s="82">
        <f>VLOOKUP(C55,'Tie-Down Provision Workings'!$C$10:$AT$69,44,FALSE)</f>
        <v>31.704146045401583</v>
      </c>
    </row>
    <row r="58" spans="2:13" x14ac:dyDescent="0.25">
      <c r="B58" s="180">
        <v>15</v>
      </c>
      <c r="C58" s="203" t="str">
        <f>VLOOKUP(B58,'Tie-Down Provision Workings'!$B$10:$AT$69,2,FALSE)</f>
        <v xml:space="preserve">Rear Door Ladder Storage w/ platform fastened to the rear bottom beam </v>
      </c>
      <c r="D58" s="206">
        <f>VLOOKUP(C58,'Tie-Down Provision Workings'!$C$10:$AT$69,2,FALSE)</f>
        <v>45</v>
      </c>
      <c r="E58" s="18" t="s">
        <v>73</v>
      </c>
      <c r="F58" s="63">
        <f t="shared" ref="F58" si="24">$D$4</f>
        <v>4</v>
      </c>
      <c r="G58" s="86">
        <f>VLOOKUP(C58,'Tie-Down Provision Workings'!$C$10:$AT$69,3,FALSE)</f>
        <v>1765.8000000000002</v>
      </c>
      <c r="H58" s="175" t="str">
        <f>VLOOKUP(C58,'Tie-Down Provision Workings'!$C$10:$AT$69,8,FALSE)</f>
        <v>M6</v>
      </c>
      <c r="I58" s="175">
        <f>'Tie-Down Provision Workings'!S24</f>
        <v>20</v>
      </c>
      <c r="J58" s="86">
        <f>IF(K58="Shear",VLOOKUP(C58,'Tie-Down Provision Workings'!$C$10:$AT$69,13,FALSE),VLOOKUP(C58,'Tie-Down Provision Workings'!$C$10:$AT$69,12,FALSE))</f>
        <v>11452.16</v>
      </c>
      <c r="K58" s="87" t="str">
        <f>VLOOKUP(C58,'Tie-Down Provision Workings'!$C$10:$AT$69,39,FALSE)</f>
        <v>Tensile</v>
      </c>
      <c r="L58" s="86">
        <f>VLOOKUP(C58,'Tie-Down Provision Workings'!$C$10:$AT$69,36,FALSE)</f>
        <v>88.29</v>
      </c>
      <c r="M58" s="88">
        <f>VLOOKUP(C58,'Tie-Down Provision Workings'!$C$10:$AT$69,42,FALSE)</f>
        <v>129.7107260165364</v>
      </c>
    </row>
    <row r="59" spans="2:13" x14ac:dyDescent="0.25">
      <c r="B59" s="181"/>
      <c r="C59" s="204"/>
      <c r="D59" s="207"/>
      <c r="E59" s="20" t="s">
        <v>74</v>
      </c>
      <c r="F59" s="63">
        <f t="shared" ref="F59" si="25">$D$5</f>
        <v>2</v>
      </c>
      <c r="G59" s="86">
        <f>VLOOKUP(C58,'Tie-Down Provision Workings'!$C$10:$AT$69,4,FALSE)</f>
        <v>882.90000000000009</v>
      </c>
      <c r="H59" s="176"/>
      <c r="I59" s="176"/>
      <c r="J59" s="86">
        <f>IF(K59="Shear",VLOOKUP(C58,'Tie-Down Provision Workings'!$C$10:$AT$69,13,FALSE),VLOOKUP(C58,'Tie-Down Provision Workings'!$C$10:$AT$69,12,FALSE))</f>
        <v>5726.08</v>
      </c>
      <c r="K59" s="87" t="str">
        <f>VLOOKUP(C58,'Tie-Down Provision Workings'!$C$10:$AT$69,40,FALSE)</f>
        <v>Shear</v>
      </c>
      <c r="L59" s="86">
        <f>VLOOKUP(C58,'Tie-Down Provision Workings'!$C$10:$AT$69,37,FALSE)</f>
        <v>44.145000000000003</v>
      </c>
      <c r="M59" s="88">
        <f>VLOOKUP(C58,'Tie-Down Provision Workings'!$C$10:$AT$69,43,FALSE)</f>
        <v>129.7107260165364</v>
      </c>
    </row>
    <row r="60" spans="2:13" x14ac:dyDescent="0.25">
      <c r="B60" s="182"/>
      <c r="C60" s="205"/>
      <c r="D60" s="208"/>
      <c r="E60" s="20" t="s">
        <v>2</v>
      </c>
      <c r="F60" s="61">
        <f t="shared" ref="F60" si="26">$D$6</f>
        <v>1.5</v>
      </c>
      <c r="G60" s="86">
        <f>VLOOKUP(C58,'Tie-Down Provision Workings'!$C$10:$AT$69,5,FALSE)</f>
        <v>662.17500000000007</v>
      </c>
      <c r="H60" s="177"/>
      <c r="I60" s="177"/>
      <c r="J60" s="86">
        <f>IF(K60="Shear",VLOOKUP(C58,'Tie-Down Provision Workings'!$C$10:$AT$69,13,FALSE),VLOOKUP(C58,'Tie-Down Provision Workings'!$C$10:$AT$69,12,FALSE))</f>
        <v>5726.08</v>
      </c>
      <c r="K60" s="87" t="str">
        <f>VLOOKUP(C58,'Tie-Down Provision Workings'!$C$10:$AT$69,41,FALSE)</f>
        <v>Shear</v>
      </c>
      <c r="L60" s="86">
        <f>VLOOKUP(C58,'Tie-Down Provision Workings'!$C$10:$AT$69,38,FALSE)</f>
        <v>33.108750000000001</v>
      </c>
      <c r="M60" s="88">
        <f>VLOOKUP(C58,'Tie-Down Provision Workings'!$C$10:$AT$69,44,FALSE)</f>
        <v>172.94763468871523</v>
      </c>
    </row>
    <row r="61" spans="2:13" x14ac:dyDescent="0.25">
      <c r="B61" s="185">
        <v>16</v>
      </c>
      <c r="C61" s="220" t="str">
        <f>VLOOKUP(B61,'Tie-Down Provision Workings'!$B$10:$AT$69,2,FALSE)</f>
        <v>Rear  Roof Access Ladder fastened to rear wall</v>
      </c>
      <c r="D61" s="223">
        <f>VLOOKUP(C61,'Tie-Down Provision Workings'!$C$10:$AT$69,2,FALSE)</f>
        <v>5</v>
      </c>
      <c r="E61" s="22" t="s">
        <v>73</v>
      </c>
      <c r="F61" s="62">
        <f t="shared" si="12"/>
        <v>4</v>
      </c>
      <c r="G61" s="80">
        <f>VLOOKUP(C61,'Tie-Down Provision Workings'!$C$10:$AT$69,3,FALSE)</f>
        <v>196.20000000000002</v>
      </c>
      <c r="H61" s="172" t="str">
        <f>VLOOKUP(C61,'Tie-Down Provision Workings'!$C$10:$AT$69,8,FALSE)</f>
        <v>M6</v>
      </c>
      <c r="I61" s="172">
        <f>'Tie-Down Provision Workings'!S25</f>
        <v>8</v>
      </c>
      <c r="J61" s="80">
        <f>IF(K61="Shear",VLOOKUP(C61,'Tie-Down Provision Workings'!$C$10:$AT$69,13,FALSE),VLOOKUP(C61,'Tie-Down Provision Workings'!$C$10:$AT$69,12,FALSE))</f>
        <v>11452.16</v>
      </c>
      <c r="K61" s="81" t="str">
        <f>VLOOKUP(C61,'Tie-Down Provision Workings'!$C$10:$AT$69,39,FALSE)</f>
        <v>Tensile</v>
      </c>
      <c r="L61" s="80">
        <f>VLOOKUP(C61,'Tie-Down Provision Workings'!$C$10:$AT$69,36,FALSE)</f>
        <v>24.525000000000002</v>
      </c>
      <c r="M61" s="82">
        <f>VLOOKUP(C61,'Tie-Down Provision Workings'!$C$10:$AT$69,42,FALSE)</f>
        <v>466.95861365953107</v>
      </c>
    </row>
    <row r="62" spans="2:13" x14ac:dyDescent="0.25">
      <c r="B62" s="186"/>
      <c r="C62" s="221"/>
      <c r="D62" s="224"/>
      <c r="E62" s="23" t="s">
        <v>74</v>
      </c>
      <c r="F62" s="62">
        <f t="shared" si="13"/>
        <v>2</v>
      </c>
      <c r="G62" s="80">
        <f>VLOOKUP(C61,'Tie-Down Provision Workings'!$C$10:$AT$69,4,FALSE)</f>
        <v>98.100000000000009</v>
      </c>
      <c r="H62" s="173"/>
      <c r="I62" s="173"/>
      <c r="J62" s="80">
        <f>IF(K62="Shear",VLOOKUP(C61,'Tie-Down Provision Workings'!$C$10:$AT$69,13,FALSE),VLOOKUP(C61,'Tie-Down Provision Workings'!$C$10:$AT$69,12,FALSE))</f>
        <v>5726.08</v>
      </c>
      <c r="K62" s="81" t="str">
        <f>VLOOKUP(C61,'Tie-Down Provision Workings'!$C$10:$AT$69,40,FALSE)</f>
        <v>Shear</v>
      </c>
      <c r="L62" s="80">
        <f>VLOOKUP(C61,'Tie-Down Provision Workings'!$C$10:$AT$69,37,FALSE)</f>
        <v>12.262500000000001</v>
      </c>
      <c r="M62" s="82">
        <f>VLOOKUP(C61,'Tie-Down Provision Workings'!$C$10:$AT$69,43,FALSE)</f>
        <v>466.95861365953107</v>
      </c>
    </row>
    <row r="63" spans="2:13" x14ac:dyDescent="0.25">
      <c r="B63" s="187"/>
      <c r="C63" s="222"/>
      <c r="D63" s="225"/>
      <c r="E63" s="23" t="s">
        <v>2</v>
      </c>
      <c r="F63" s="60">
        <f t="shared" si="14"/>
        <v>1.5</v>
      </c>
      <c r="G63" s="80">
        <f>VLOOKUP(C61,'Tie-Down Provision Workings'!$C$10:$AT$69,5,FALSE)</f>
        <v>73.575000000000003</v>
      </c>
      <c r="H63" s="174"/>
      <c r="I63" s="174"/>
      <c r="J63" s="80">
        <f>IF(K63="Shear",VLOOKUP(C61,'Tie-Down Provision Workings'!$C$10:$AT$69,13,FALSE),VLOOKUP(C61,'Tie-Down Provision Workings'!$C$10:$AT$69,12,FALSE))</f>
        <v>5726.08</v>
      </c>
      <c r="K63" s="81" t="str">
        <f>VLOOKUP(C61,'Tie-Down Provision Workings'!$C$10:$AT$69,41,FALSE)</f>
        <v>Shear</v>
      </c>
      <c r="L63" s="80">
        <f>VLOOKUP(C61,'Tie-Down Provision Workings'!$C$10:$AT$69,38,FALSE)</f>
        <v>9.1968750000000004</v>
      </c>
      <c r="M63" s="82">
        <f>VLOOKUP(C61,'Tie-Down Provision Workings'!$C$10:$AT$69,44,FALSE)</f>
        <v>622.61148487937476</v>
      </c>
    </row>
    <row r="64" spans="2:13" x14ac:dyDescent="0.25">
      <c r="B64" s="217">
        <v>17</v>
      </c>
      <c r="C64" s="203" t="str">
        <f>VLOOKUP(B64,'Tie-Down Provision Workings'!$B$10:$AT$69,2,FALSE)</f>
        <v>Refuelling Remote Panel fastened to the Utility rack at Outdoor Facilities Area</v>
      </c>
      <c r="D64" s="206">
        <f>VLOOKUP(C64,'Tie-Down Provision Workings'!$C$10:$AT$69,2,FALSE)</f>
        <v>20</v>
      </c>
      <c r="E64" s="84" t="s">
        <v>73</v>
      </c>
      <c r="F64" s="116">
        <f t="shared" si="15"/>
        <v>4</v>
      </c>
      <c r="G64" s="86">
        <f>VLOOKUP(C64,'Tie-Down Provision Workings'!$C$10:$AT$69,3,FALSE)</f>
        <v>784.80000000000007</v>
      </c>
      <c r="H64" s="175" t="str">
        <f>VLOOKUP(C64,'Tie-Down Provision Workings'!$C$10:$AT$69,8,FALSE)</f>
        <v>M6</v>
      </c>
      <c r="I64" s="175">
        <f>'Tie-Down Provision Workings'!S26</f>
        <v>4</v>
      </c>
      <c r="J64" s="86">
        <f>IF(K64="Shear",VLOOKUP(C64,'Tie-Down Provision Workings'!$C$10:$AT$69,13,FALSE),VLOOKUP(C64,'Tie-Down Provision Workings'!$C$10:$AT$69,12,FALSE))</f>
        <v>5726.08</v>
      </c>
      <c r="K64" s="87" t="str">
        <f>VLOOKUP(C64,'Tie-Down Provision Workings'!$C$10:$AT$69,39,FALSE)</f>
        <v>Shear</v>
      </c>
      <c r="L64" s="86">
        <f>VLOOKUP(C64,'Tie-Down Provision Workings'!$C$10:$AT$69,36,FALSE)</f>
        <v>196.20000000000002</v>
      </c>
      <c r="M64" s="88">
        <f>VLOOKUP(C64,'Tie-Down Provision Workings'!$C$10:$AT$69,42,FALSE)</f>
        <v>29.184913353720692</v>
      </c>
    </row>
    <row r="65" spans="2:14" x14ac:dyDescent="0.25">
      <c r="B65" s="218"/>
      <c r="C65" s="204"/>
      <c r="D65" s="207"/>
      <c r="E65" s="115" t="s">
        <v>74</v>
      </c>
      <c r="F65" s="116">
        <f t="shared" si="16"/>
        <v>2</v>
      </c>
      <c r="G65" s="86">
        <f>VLOOKUP(C64,'Tie-Down Provision Workings'!$C$10:$AT$69,4,FALSE)</f>
        <v>392.40000000000003</v>
      </c>
      <c r="H65" s="176"/>
      <c r="I65" s="176"/>
      <c r="J65" s="86">
        <f>IF(K65="Shear",VLOOKUP(C64,'Tie-Down Provision Workings'!$C$10:$AT$69,13,FALSE),VLOOKUP(C64,'Tie-Down Provision Workings'!$C$10:$AT$69,12,FALSE))</f>
        <v>5726.08</v>
      </c>
      <c r="K65" s="87" t="str">
        <f>VLOOKUP(C64,'Tie-Down Provision Workings'!$C$10:$AT$69,40,FALSE)</f>
        <v>Shear</v>
      </c>
      <c r="L65" s="86">
        <f>VLOOKUP(C64,'Tie-Down Provision Workings'!$C$10:$AT$69,37,FALSE)</f>
        <v>98.100000000000009</v>
      </c>
      <c r="M65" s="88">
        <f>VLOOKUP(C64,'Tie-Down Provision Workings'!$C$10:$AT$69,43,FALSE)</f>
        <v>58.369826707441383</v>
      </c>
    </row>
    <row r="66" spans="2:14" x14ac:dyDescent="0.25">
      <c r="B66" s="219"/>
      <c r="C66" s="205"/>
      <c r="D66" s="208"/>
      <c r="E66" s="115" t="s">
        <v>2</v>
      </c>
      <c r="F66" s="116">
        <f t="shared" si="17"/>
        <v>1.5</v>
      </c>
      <c r="G66" s="86">
        <f>VLOOKUP(C64,'Tie-Down Provision Workings'!$C$10:$AT$69,5,FALSE)</f>
        <v>294.3</v>
      </c>
      <c r="H66" s="177"/>
      <c r="I66" s="177"/>
      <c r="J66" s="86">
        <f>IF(K66="Shear",VLOOKUP(C64,'Tie-Down Provision Workings'!$C$10:$AT$69,13,FALSE),VLOOKUP(C64,'Tie-Down Provision Workings'!$C$10:$AT$69,12,FALSE))</f>
        <v>11452.16</v>
      </c>
      <c r="K66" s="87" t="str">
        <f>VLOOKUP(C64,'Tie-Down Provision Workings'!$C$10:$AT$69,41,FALSE)</f>
        <v>Tensile</v>
      </c>
      <c r="L66" s="86">
        <f>VLOOKUP(C64,'Tie-Down Provision Workings'!$C$10:$AT$69,38,FALSE)</f>
        <v>73.575000000000003</v>
      </c>
      <c r="M66" s="88">
        <f>VLOOKUP(C64,'Tie-Down Provision Workings'!$C$10:$AT$69,44,FALSE)</f>
        <v>155.65287121984369</v>
      </c>
    </row>
    <row r="67" spans="2:14" x14ac:dyDescent="0.25">
      <c r="B67" s="185">
        <v>18</v>
      </c>
      <c r="C67" s="220" t="str">
        <f>VLOOKUP(B67,'Tie-Down Provision Workings'!$B$10:$AT$69,2,FALSE)</f>
        <v>Manual Pump fastened to the Utility rack at Outdoor Facilities Area</v>
      </c>
      <c r="D67" s="223">
        <f>VLOOKUP(C67,'Tie-Down Provision Workings'!$C$10:$AT$69,2,FALSE)</f>
        <v>5</v>
      </c>
      <c r="E67" s="22" t="s">
        <v>73</v>
      </c>
      <c r="F67" s="119">
        <f t="shared" ref="F67" si="27">$D$4</f>
        <v>4</v>
      </c>
      <c r="G67" s="80">
        <f>VLOOKUP(C67,'Tie-Down Provision Workings'!$C$10:$AT$69,3,FALSE)</f>
        <v>196.20000000000002</v>
      </c>
      <c r="H67" s="172" t="str">
        <f>VLOOKUP(C67,'Tie-Down Provision Workings'!$C$10:$AT$69,8,FALSE)</f>
        <v>M6</v>
      </c>
      <c r="I67" s="160">
        <f>'Tie-Down Provision Workings'!S27</f>
        <v>3</v>
      </c>
      <c r="J67" s="80">
        <f>IF(K67="Shear",VLOOKUP(C67,'Tie-Down Provision Workings'!$C$10:$AT$69,13,FALSE),VLOOKUP(C67,'Tie-Down Provision Workings'!$C$10:$AT$69,12,FALSE))</f>
        <v>5726.08</v>
      </c>
      <c r="K67" s="81" t="str">
        <f>VLOOKUP(C67,'Tie-Down Provision Workings'!$C$10:$AT$69,39,FALSE)</f>
        <v>Shear</v>
      </c>
      <c r="L67" s="80">
        <f>VLOOKUP(C67,'Tie-Down Provision Workings'!$C$10:$AT$69,36,FALSE)</f>
        <v>65.400000000000006</v>
      </c>
      <c r="M67" s="82">
        <f>VLOOKUP(C67,'Tie-Down Provision Workings'!$C$10:$AT$69,42,FALSE)</f>
        <v>87.554740061162065</v>
      </c>
    </row>
    <row r="68" spans="2:14" x14ac:dyDescent="0.25">
      <c r="B68" s="186"/>
      <c r="C68" s="221"/>
      <c r="D68" s="224"/>
      <c r="E68" s="23" t="s">
        <v>74</v>
      </c>
      <c r="F68" s="119">
        <f t="shared" ref="F68" si="28">$D$5</f>
        <v>2</v>
      </c>
      <c r="G68" s="80">
        <f>VLOOKUP(C67,'Tie-Down Provision Workings'!$C$10:$AT$69,4,FALSE)</f>
        <v>98.100000000000009</v>
      </c>
      <c r="H68" s="173"/>
      <c r="I68" s="161"/>
      <c r="J68" s="80">
        <f>IF(K68="Shear",VLOOKUP(C67,'Tie-Down Provision Workings'!$C$10:$AT$69,13,FALSE),VLOOKUP(C67,'Tie-Down Provision Workings'!$C$10:$AT$69,12,FALSE))</f>
        <v>5726.08</v>
      </c>
      <c r="K68" s="81" t="str">
        <f>VLOOKUP(C67,'Tie-Down Provision Workings'!$C$10:$AT$69,40,FALSE)</f>
        <v>Shear</v>
      </c>
      <c r="L68" s="80">
        <f>VLOOKUP(C67,'Tie-Down Provision Workings'!$C$10:$AT$69,37,FALSE)</f>
        <v>32.700000000000003</v>
      </c>
      <c r="M68" s="82">
        <f>VLOOKUP(C67,'Tie-Down Provision Workings'!$C$10:$AT$69,43,FALSE)</f>
        <v>175.10948012232413</v>
      </c>
    </row>
    <row r="69" spans="2:14" x14ac:dyDescent="0.25">
      <c r="B69" s="187"/>
      <c r="C69" s="222"/>
      <c r="D69" s="225"/>
      <c r="E69" s="23" t="s">
        <v>2</v>
      </c>
      <c r="F69" s="119">
        <f t="shared" ref="F69" si="29">$D$6</f>
        <v>1.5</v>
      </c>
      <c r="G69" s="80">
        <f>VLOOKUP(C67,'Tie-Down Provision Workings'!$C$10:$AT$69,5,FALSE)</f>
        <v>73.575000000000003</v>
      </c>
      <c r="H69" s="174"/>
      <c r="I69" s="162"/>
      <c r="J69" s="80">
        <f>IF(K69="Shear",VLOOKUP(C67,'Tie-Down Provision Workings'!$C$10:$AT$69,13,FALSE),VLOOKUP(C67,'Tie-Down Provision Workings'!$C$10:$AT$69,12,FALSE))</f>
        <v>11452.16</v>
      </c>
      <c r="K69" s="81" t="str">
        <f>VLOOKUP(C67,'Tie-Down Provision Workings'!$C$10:$AT$69,41,FALSE)</f>
        <v>Tensile</v>
      </c>
      <c r="L69" s="80">
        <f>VLOOKUP(C67,'Tie-Down Provision Workings'!$C$10:$AT$69,38,FALSE)</f>
        <v>24.525000000000002</v>
      </c>
      <c r="M69" s="82">
        <f>VLOOKUP(C67,'Tie-Down Provision Workings'!$C$10:$AT$69,44,FALSE)</f>
        <v>466.95861365953107</v>
      </c>
    </row>
    <row r="70" spans="2:14" ht="15" customHeight="1" x14ac:dyDescent="0.25">
      <c r="B70" s="180">
        <v>19</v>
      </c>
      <c r="C70" s="203" t="str">
        <f>VLOOKUP(B70,'Tie-Down Provision Workings'!$B$10:$AT$69,2,FALSE)</f>
        <v>15m Pneumatic Mast (Left, Right) fastened to the base structure at LOS Mast Compartment</v>
      </c>
      <c r="D70" s="206">
        <f>VLOOKUP(C70,'Tie-Down Provision Workings'!$C$10:$AT$69,2,FALSE)</f>
        <v>150</v>
      </c>
      <c r="E70" s="18" t="s">
        <v>73</v>
      </c>
      <c r="F70" s="120">
        <f t="shared" ref="F70" si="30">$D$4</f>
        <v>4</v>
      </c>
      <c r="G70" s="86">
        <f>VLOOKUP(C70,'Tie-Down Provision Workings'!$C$10:$AT$69,3,FALSE)</f>
        <v>5886</v>
      </c>
      <c r="H70" s="175" t="str">
        <f>VLOOKUP(C70,'Tie-Down Provision Workings'!$C$10:$AT$69,8,FALSE)</f>
        <v>M10</v>
      </c>
      <c r="I70" s="166">
        <f>'Tie-Down Provision Workings'!S28</f>
        <v>4</v>
      </c>
      <c r="J70" s="86">
        <f>IF(K70="Shear",VLOOKUP(C70,'Tie-Down Provision Workings'!$C$10:$AT$69,13,FALSE),VLOOKUP(C70,'Tie-Down Provision Workings'!$C$10:$AT$69,12,FALSE))</f>
        <v>16733.440000000002</v>
      </c>
      <c r="K70" s="87" t="str">
        <f>VLOOKUP(C70,'Tie-Down Provision Workings'!$C$10:$AT$69,39,FALSE)</f>
        <v>Shear</v>
      </c>
      <c r="L70" s="86">
        <f>VLOOKUP(C70,'Tie-Down Provision Workings'!$C$10:$AT$69,36,FALSE)</f>
        <v>1471.5</v>
      </c>
      <c r="M70" s="88">
        <f>VLOOKUP(C70,'Tie-Down Provision Workings'!$C$10:$AT$69,42,FALSE)</f>
        <v>11.371688752973158</v>
      </c>
    </row>
    <row r="71" spans="2:14" x14ac:dyDescent="0.25">
      <c r="B71" s="181"/>
      <c r="C71" s="204"/>
      <c r="D71" s="207"/>
      <c r="E71" s="20" t="s">
        <v>74</v>
      </c>
      <c r="F71" s="120">
        <f t="shared" ref="F71" si="31">$D$5</f>
        <v>2</v>
      </c>
      <c r="G71" s="86">
        <f>VLOOKUP(C70,'Tie-Down Provision Workings'!$C$10:$AT$69,4,FALSE)</f>
        <v>2943</v>
      </c>
      <c r="H71" s="176"/>
      <c r="I71" s="167"/>
      <c r="J71" s="86">
        <f>IF(K71="Shear",VLOOKUP(C70,'Tie-Down Provision Workings'!$C$10:$AT$69,13,FALSE),VLOOKUP(C70,'Tie-Down Provision Workings'!$C$10:$AT$69,12,FALSE))</f>
        <v>33466.880000000005</v>
      </c>
      <c r="K71" s="87" t="str">
        <f>VLOOKUP(C70,'Tie-Down Provision Workings'!$C$10:$AT$69,40,FALSE)</f>
        <v>Tensile</v>
      </c>
      <c r="L71" s="86">
        <f>VLOOKUP(C70,'Tie-Down Provision Workings'!$C$10:$AT$69,37,FALSE)</f>
        <v>735.75</v>
      </c>
      <c r="M71" s="88">
        <f>VLOOKUP(C70,'Tie-Down Provision Workings'!$C$10:$AT$69,43,FALSE)</f>
        <v>45.486755011892633</v>
      </c>
    </row>
    <row r="72" spans="2:14" x14ac:dyDescent="0.25">
      <c r="B72" s="182"/>
      <c r="C72" s="205"/>
      <c r="D72" s="208"/>
      <c r="E72" s="20" t="s">
        <v>2</v>
      </c>
      <c r="F72" s="120">
        <f t="shared" ref="F72" si="32">$D$6</f>
        <v>1.5</v>
      </c>
      <c r="G72" s="86">
        <f>VLOOKUP(C70,'Tie-Down Provision Workings'!$C$10:$AT$69,5,FALSE)</f>
        <v>2207.25</v>
      </c>
      <c r="H72" s="177"/>
      <c r="I72" s="168"/>
      <c r="J72" s="86">
        <f>IF(K72="Shear",VLOOKUP(C70,'Tie-Down Provision Workings'!$C$10:$AT$69,13,FALSE),VLOOKUP(C70,'Tie-Down Provision Workings'!$C$10:$AT$69,12,FALSE))</f>
        <v>16733.440000000002</v>
      </c>
      <c r="K72" s="87" t="str">
        <f>VLOOKUP(C70,'Tie-Down Provision Workings'!$C$10:$AT$69,41,FALSE)</f>
        <v>Shear</v>
      </c>
      <c r="L72" s="86">
        <f>VLOOKUP(C70,'Tie-Down Provision Workings'!$C$10:$AT$69,38,FALSE)</f>
        <v>551.8125</v>
      </c>
      <c r="M72" s="88">
        <f>VLOOKUP(C70,'Tie-Down Provision Workings'!$C$10:$AT$69,44,FALSE)</f>
        <v>30.324503341261757</v>
      </c>
    </row>
    <row r="73" spans="2:14" ht="15.75" thickBot="1" x14ac:dyDescent="0.3">
      <c r="B73" s="14"/>
      <c r="C73" s="14"/>
      <c r="D73" s="31"/>
      <c r="E73" s="32"/>
      <c r="F73" s="14"/>
      <c r="G73" s="90"/>
      <c r="H73" s="14"/>
      <c r="I73" s="14"/>
      <c r="J73" s="90"/>
      <c r="K73" s="33"/>
      <c r="L73" s="90"/>
      <c r="M73" s="91"/>
      <c r="N73" s="14"/>
    </row>
    <row r="74" spans="2:14" ht="15" customHeight="1" thickTop="1" thickBot="1" x14ac:dyDescent="0.3">
      <c r="C74" s="15"/>
      <c r="D74" s="15"/>
      <c r="E74" s="212" t="s">
        <v>69</v>
      </c>
      <c r="F74" s="213"/>
      <c r="G74" s="213"/>
      <c r="H74" s="214" t="s">
        <v>67</v>
      </c>
      <c r="I74" s="215"/>
      <c r="J74" s="215"/>
      <c r="K74" s="215"/>
      <c r="L74" s="215"/>
      <c r="M74" s="216"/>
    </row>
    <row r="75" spans="2:14" ht="45.75" thickTop="1" x14ac:dyDescent="0.25">
      <c r="B75" s="75" t="s">
        <v>0</v>
      </c>
      <c r="C75" s="76" t="s">
        <v>1</v>
      </c>
      <c r="D75" s="76" t="s">
        <v>95</v>
      </c>
      <c r="E75" s="16" t="s">
        <v>75</v>
      </c>
      <c r="F75" s="16" t="s">
        <v>76</v>
      </c>
      <c r="G75" s="16" t="s">
        <v>78</v>
      </c>
      <c r="H75" s="16" t="s">
        <v>68</v>
      </c>
      <c r="I75" s="16" t="s">
        <v>70</v>
      </c>
      <c r="J75" s="16" t="s">
        <v>66</v>
      </c>
      <c r="K75" s="16" t="s">
        <v>77</v>
      </c>
      <c r="L75" s="16" t="s">
        <v>71</v>
      </c>
      <c r="M75" s="17" t="s">
        <v>72</v>
      </c>
    </row>
    <row r="76" spans="2:14" x14ac:dyDescent="0.25">
      <c r="B76" s="209">
        <v>20</v>
      </c>
      <c r="C76" s="194" t="str">
        <f>VLOOKUP(B76,'Tie-Down Provision Workings'!$B$10:$AT$69,2,FALSE)</f>
        <v>Mast Compressor (left, Right) fastened to the base structure at LOS Mast Compartment</v>
      </c>
      <c r="D76" s="197">
        <f>VLOOKUP(C76,'Tie-Down Provision Workings'!$C$10:$AT$69,2,FALSE)</f>
        <v>22</v>
      </c>
      <c r="E76" s="79" t="s">
        <v>73</v>
      </c>
      <c r="F76" s="121">
        <f t="shared" si="12"/>
        <v>4</v>
      </c>
      <c r="G76" s="80">
        <f>VLOOKUP(C76,'Tie-Down Provision Workings'!$C$10:$AT$69,3,FALSE)</f>
        <v>863.28000000000009</v>
      </c>
      <c r="H76" s="169" t="str">
        <f>VLOOKUP(C76,'Tie-Down Provision Workings'!$C$10:$AT$69,8,FALSE)</f>
        <v>M6</v>
      </c>
      <c r="I76" s="169">
        <f>'Tie-Down Provision Workings'!S29</f>
        <v>4</v>
      </c>
      <c r="J76" s="80">
        <f>IF(K76="Shear",VLOOKUP(C76,'Tie-Down Provision Workings'!$C$10:$AT$69,13,FALSE),VLOOKUP(C76,'Tie-Down Provision Workings'!$C$10:$AT$69,12,FALSE))</f>
        <v>5726.08</v>
      </c>
      <c r="K76" s="81" t="str">
        <f>VLOOKUP(C76,'Tie-Down Provision Workings'!$C$10:$AT$69,39,FALSE)</f>
        <v>Shear</v>
      </c>
      <c r="L76" s="80">
        <f>VLOOKUP(C76,'Tie-Down Provision Workings'!$C$10:$AT$69,36,FALSE)</f>
        <v>215.82000000000002</v>
      </c>
      <c r="M76" s="82">
        <f>VLOOKUP(C76,'Tie-Down Provision Workings'!$C$10:$AT$69,42,FALSE)</f>
        <v>26.531739412473353</v>
      </c>
    </row>
    <row r="77" spans="2:14" x14ac:dyDescent="0.25">
      <c r="B77" s="210"/>
      <c r="C77" s="195"/>
      <c r="D77" s="198"/>
      <c r="E77" s="83" t="s">
        <v>74</v>
      </c>
      <c r="F77" s="121">
        <f t="shared" si="13"/>
        <v>2</v>
      </c>
      <c r="G77" s="80">
        <f>VLOOKUP(C76,'Tie-Down Provision Workings'!$C$10:$AT$69,4,FALSE)</f>
        <v>431.64000000000004</v>
      </c>
      <c r="H77" s="170"/>
      <c r="I77" s="170"/>
      <c r="J77" s="80">
        <f>IF(K77="Shear",VLOOKUP(C76,'Tie-Down Provision Workings'!$C$10:$AT$69,13,FALSE),VLOOKUP(C76,'Tie-Down Provision Workings'!$C$10:$AT$69,12,FALSE))</f>
        <v>11452.16</v>
      </c>
      <c r="K77" s="81" t="str">
        <f>VLOOKUP(C76,'Tie-Down Provision Workings'!$C$10:$AT$69,40,FALSE)</f>
        <v>Tensile</v>
      </c>
      <c r="L77" s="80">
        <f>VLOOKUP(C76,'Tie-Down Provision Workings'!$C$10:$AT$69,37,FALSE)</f>
        <v>107.91000000000001</v>
      </c>
      <c r="M77" s="82">
        <f>VLOOKUP(C76,'Tie-Down Provision Workings'!$C$10:$AT$69,43,FALSE)</f>
        <v>106.12695764989341</v>
      </c>
    </row>
    <row r="78" spans="2:14" x14ac:dyDescent="0.25">
      <c r="B78" s="211"/>
      <c r="C78" s="196"/>
      <c r="D78" s="199"/>
      <c r="E78" s="83" t="s">
        <v>2</v>
      </c>
      <c r="F78" s="121">
        <f t="shared" si="14"/>
        <v>1.5</v>
      </c>
      <c r="G78" s="80">
        <f>VLOOKUP(C76,'Tie-Down Provision Workings'!$C$10:$AT$69,5,FALSE)</f>
        <v>323.73</v>
      </c>
      <c r="H78" s="171"/>
      <c r="I78" s="171"/>
      <c r="J78" s="80">
        <f>IF(K78="Shear",VLOOKUP(C76,'Tie-Down Provision Workings'!$C$10:$AT$69,13,FALSE),VLOOKUP(C76,'Tie-Down Provision Workings'!$C$10:$AT$69,12,FALSE))</f>
        <v>5726.08</v>
      </c>
      <c r="K78" s="81" t="str">
        <f>VLOOKUP(C76,'Tie-Down Provision Workings'!$C$10:$AT$69,41,FALSE)</f>
        <v>Shear</v>
      </c>
      <c r="L78" s="80">
        <f>VLOOKUP(C76,'Tie-Down Provision Workings'!$C$10:$AT$69,38,FALSE)</f>
        <v>80.932500000000005</v>
      </c>
      <c r="M78" s="82">
        <f>VLOOKUP(C76,'Tie-Down Provision Workings'!$C$10:$AT$69,44,FALSE)</f>
        <v>70.751305099928942</v>
      </c>
    </row>
    <row r="79" spans="2:14" ht="15" customHeight="1" x14ac:dyDescent="0.25">
      <c r="B79" s="180">
        <v>21</v>
      </c>
      <c r="C79" s="188" t="str">
        <f>VLOOKUP(B79,'Tie-Down Provision Workings'!$B$10:$AT$69,2,FALSE)</f>
        <v>EM Mast w/fixed payload (LTE Antennas &amp; Mounting) fastened to the base structure at EM mast compartment</v>
      </c>
      <c r="D79" s="191">
        <f>VLOOKUP(C79,'Tie-Down Provision Workings'!$C$10:$AT$69,2,FALSE)</f>
        <v>251</v>
      </c>
      <c r="E79" s="18" t="s">
        <v>73</v>
      </c>
      <c r="F79" s="120">
        <f t="shared" si="15"/>
        <v>4</v>
      </c>
      <c r="G79" s="86">
        <f>VLOOKUP(C79,'Tie-Down Provision Workings'!$C$10:$AT$69,3,FALSE)</f>
        <v>9849.24</v>
      </c>
      <c r="H79" s="163" t="str">
        <f>VLOOKUP(C79,'Tie-Down Provision Workings'!$C$10:$AT$69,8,FALSE)</f>
        <v>M12</v>
      </c>
      <c r="I79" s="166">
        <f>'Tie-Down Provision Workings'!S30</f>
        <v>4</v>
      </c>
      <c r="J79" s="86">
        <f>IF(K79="Shear",VLOOKUP(C79,'Tie-Down Provision Workings'!$C$10:$AT$69,13,FALSE),VLOOKUP(C79,'Tie-Down Provision Workings'!$C$10:$AT$69,12,FALSE))</f>
        <v>24399.040000000001</v>
      </c>
      <c r="K79" s="87" t="str">
        <f>VLOOKUP(C79,'Tie-Down Provision Workings'!$C$10:$AT$69,39,FALSE)</f>
        <v>Shear</v>
      </c>
      <c r="L79" s="86">
        <f>VLOOKUP(C79,'Tie-Down Provision Workings'!$C$10:$AT$69,36,FALSE)</f>
        <v>2462.31</v>
      </c>
      <c r="M79" s="88">
        <f>VLOOKUP(C79,'Tie-Down Provision Workings'!$C$10:$AT$69,42,FALSE)</f>
        <v>9.909004146512828</v>
      </c>
    </row>
    <row r="80" spans="2:14" x14ac:dyDescent="0.25">
      <c r="B80" s="181"/>
      <c r="C80" s="189"/>
      <c r="D80" s="192"/>
      <c r="E80" s="20" t="s">
        <v>74</v>
      </c>
      <c r="F80" s="120">
        <f t="shared" si="16"/>
        <v>2</v>
      </c>
      <c r="G80" s="86">
        <f>VLOOKUP(C79,'Tie-Down Provision Workings'!$C$10:$AT$69,4,FALSE)</f>
        <v>4924.62</v>
      </c>
      <c r="H80" s="164"/>
      <c r="I80" s="167"/>
      <c r="J80" s="86">
        <f>IF(K80="Shear",VLOOKUP(C79,'Tie-Down Provision Workings'!$C$10:$AT$69,13,FALSE),VLOOKUP(C79,'Tie-Down Provision Workings'!$C$10:$AT$69,12,FALSE))</f>
        <v>48798.080000000002</v>
      </c>
      <c r="K80" s="87" t="str">
        <f>VLOOKUP(C79,'Tie-Down Provision Workings'!$C$10:$AT$69,40,FALSE)</f>
        <v>Tensile</v>
      </c>
      <c r="L80" s="86">
        <f>VLOOKUP(C79,'Tie-Down Provision Workings'!$C$10:$AT$69,37,FALSE)</f>
        <v>1231.155</v>
      </c>
      <c r="M80" s="88">
        <f>VLOOKUP(C79,'Tie-Down Provision Workings'!$C$10:$AT$69,43,FALSE)</f>
        <v>39.636016586051312</v>
      </c>
    </row>
    <row r="81" spans="2:13" x14ac:dyDescent="0.25">
      <c r="B81" s="182"/>
      <c r="C81" s="190"/>
      <c r="D81" s="193"/>
      <c r="E81" s="20" t="s">
        <v>2</v>
      </c>
      <c r="F81" s="120">
        <f t="shared" si="17"/>
        <v>1.5</v>
      </c>
      <c r="G81" s="86">
        <f>VLOOKUP(C79,'Tie-Down Provision Workings'!$C$10:$AT$69,5,FALSE)</f>
        <v>3693.4650000000001</v>
      </c>
      <c r="H81" s="165"/>
      <c r="I81" s="168"/>
      <c r="J81" s="86">
        <f>IF(K81="Shear",VLOOKUP(C79,'Tie-Down Provision Workings'!$C$10:$AT$69,13,FALSE),VLOOKUP(C79,'Tie-Down Provision Workings'!$C$10:$AT$69,12,FALSE))</f>
        <v>24399.040000000001</v>
      </c>
      <c r="K81" s="87" t="str">
        <f>VLOOKUP(C79,'Tie-Down Provision Workings'!$C$10:$AT$69,41,FALSE)</f>
        <v>Shear</v>
      </c>
      <c r="L81" s="86">
        <f>VLOOKUP(C79,'Tie-Down Provision Workings'!$C$10:$AT$69,38,FALSE)</f>
        <v>923.36625000000004</v>
      </c>
      <c r="M81" s="88">
        <f>VLOOKUP(C79,'Tie-Down Provision Workings'!$C$10:$AT$69,44,FALSE)</f>
        <v>26.42401105736754</v>
      </c>
    </row>
    <row r="82" spans="2:13" x14ac:dyDescent="0.25">
      <c r="B82" s="185">
        <v>22</v>
      </c>
      <c r="C82" s="194" t="str">
        <f>VLOOKUP(B82,'Tie-Down Provision Workings'!$B$10:$AT$69,2,FALSE)</f>
        <v>EM Mast Main Controller fastened to front wall</v>
      </c>
      <c r="D82" s="197">
        <f>VLOOKUP(C82,'Tie-Down Provision Workings'!$C$10:$AT$69,2,FALSE)</f>
        <v>5</v>
      </c>
      <c r="E82" s="22" t="s">
        <v>73</v>
      </c>
      <c r="F82" s="119">
        <f t="shared" ref="F82" si="33">$D$4</f>
        <v>4</v>
      </c>
      <c r="G82" s="80">
        <f>VLOOKUP(C82,'Tie-Down Provision Workings'!$C$10:$AT$69,3,FALSE)</f>
        <v>196.20000000000002</v>
      </c>
      <c r="H82" s="169" t="str">
        <f>VLOOKUP(C82,'Tie-Down Provision Workings'!$C$10:$AT$69,8,FALSE)</f>
        <v>M6</v>
      </c>
      <c r="I82" s="160">
        <f>'Tie-Down Provision Workings'!S31</f>
        <v>6</v>
      </c>
      <c r="J82" s="80">
        <f>IF(K82="Shear",VLOOKUP(C82,'Tie-Down Provision Workings'!$C$10:$AT$69,13,FALSE),VLOOKUP(C82,'Tie-Down Provision Workings'!$C$10:$AT$69,12,FALSE))</f>
        <v>11452.16</v>
      </c>
      <c r="K82" s="81" t="str">
        <f>VLOOKUP(C82,'Tie-Down Provision Workings'!$C$10:$AT$69,39,FALSE)</f>
        <v>Tensile</v>
      </c>
      <c r="L82" s="80">
        <f>VLOOKUP(C82,'Tie-Down Provision Workings'!$C$10:$AT$69,36,FALSE)</f>
        <v>32.700000000000003</v>
      </c>
      <c r="M82" s="82">
        <f>VLOOKUP(C82,'Tie-Down Provision Workings'!$C$10:$AT$69,42,FALSE)</f>
        <v>350.21896024464826</v>
      </c>
    </row>
    <row r="83" spans="2:13" x14ac:dyDescent="0.25">
      <c r="B83" s="186"/>
      <c r="C83" s="195"/>
      <c r="D83" s="198"/>
      <c r="E83" s="23" t="s">
        <v>74</v>
      </c>
      <c r="F83" s="119">
        <f t="shared" ref="F83" si="34">$D$5</f>
        <v>2</v>
      </c>
      <c r="G83" s="80">
        <f>VLOOKUP(C82,'Tie-Down Provision Workings'!$C$10:$AT$69,4,FALSE)</f>
        <v>98.100000000000009</v>
      </c>
      <c r="H83" s="170"/>
      <c r="I83" s="161"/>
      <c r="J83" s="80">
        <f>IF(K83="Shear",VLOOKUP(C82,'Tie-Down Provision Workings'!$C$10:$AT$69,13,FALSE),VLOOKUP(C82,'Tie-Down Provision Workings'!$C$10:$AT$69,12,FALSE))</f>
        <v>5726.08</v>
      </c>
      <c r="K83" s="81" t="str">
        <f>VLOOKUP(C82,'Tie-Down Provision Workings'!$C$10:$AT$69,40,FALSE)</f>
        <v>Shear</v>
      </c>
      <c r="L83" s="80">
        <f>VLOOKUP(C82,'Tie-Down Provision Workings'!$C$10:$AT$69,37,FALSE)</f>
        <v>16.350000000000001</v>
      </c>
      <c r="M83" s="82">
        <f>VLOOKUP(C82,'Tie-Down Provision Workings'!$C$10:$AT$69,43,FALSE)</f>
        <v>350.21896024464826</v>
      </c>
    </row>
    <row r="84" spans="2:13" x14ac:dyDescent="0.25">
      <c r="B84" s="187"/>
      <c r="C84" s="196"/>
      <c r="D84" s="199"/>
      <c r="E84" s="23" t="s">
        <v>2</v>
      </c>
      <c r="F84" s="119">
        <f t="shared" ref="F84" si="35">$D$6</f>
        <v>1.5</v>
      </c>
      <c r="G84" s="80">
        <f>VLOOKUP(C82,'Tie-Down Provision Workings'!$C$10:$AT$69,5,FALSE)</f>
        <v>73.575000000000003</v>
      </c>
      <c r="H84" s="171"/>
      <c r="I84" s="162"/>
      <c r="J84" s="80">
        <f>IF(K84="Shear",VLOOKUP(C82,'Tie-Down Provision Workings'!$C$10:$AT$69,13,FALSE),VLOOKUP(C82,'Tie-Down Provision Workings'!$C$10:$AT$69,12,FALSE))</f>
        <v>5726.08</v>
      </c>
      <c r="K84" s="81" t="str">
        <f>VLOOKUP(C82,'Tie-Down Provision Workings'!$C$10:$AT$69,41,FALSE)</f>
        <v>Shear</v>
      </c>
      <c r="L84" s="80">
        <f>VLOOKUP(C82,'Tie-Down Provision Workings'!$C$10:$AT$69,38,FALSE)</f>
        <v>12.262500000000001</v>
      </c>
      <c r="M84" s="82">
        <f>VLOOKUP(C82,'Tie-Down Provision Workings'!$C$10:$AT$69,44,FALSE)</f>
        <v>466.95861365953107</v>
      </c>
    </row>
    <row r="85" spans="2:13" x14ac:dyDescent="0.25">
      <c r="B85" s="180">
        <v>23</v>
      </c>
      <c r="C85" s="188" t="str">
        <f>VLOOKUP(B85,'Tie-Down Provision Workings'!$B$10:$AT$69,2,FALSE)</f>
        <v>EM Mast Handheld Remote Control fastened to front wall</v>
      </c>
      <c r="D85" s="191">
        <f>VLOOKUP(C85,'Tie-Down Provision Workings'!$C$10:$AT$69,2,FALSE)</f>
        <v>3</v>
      </c>
      <c r="E85" s="18" t="s">
        <v>73</v>
      </c>
      <c r="F85" s="120">
        <f t="shared" si="12"/>
        <v>4</v>
      </c>
      <c r="G85" s="86">
        <f>VLOOKUP(C85,'Tie-Down Provision Workings'!$C$10:$AT$69,3,FALSE)</f>
        <v>117.72</v>
      </c>
      <c r="H85" s="163" t="str">
        <f>VLOOKUP(C85,'Tie-Down Provision Workings'!$C$10:$AT$69,8,FALSE)</f>
        <v>M6</v>
      </c>
      <c r="I85" s="166">
        <f>'Tie-Down Provision Workings'!S32</f>
        <v>4</v>
      </c>
      <c r="J85" s="86">
        <f>IF(K85="Shear",VLOOKUP(C85,'Tie-Down Provision Workings'!$C$10:$AT$69,13,FALSE),VLOOKUP(C85,'Tie-Down Provision Workings'!$C$10:$AT$69,12,FALSE))</f>
        <v>11452.16</v>
      </c>
      <c r="K85" s="87" t="str">
        <f>VLOOKUP(C85,'Tie-Down Provision Workings'!$C$10:$AT$69,39,FALSE)</f>
        <v>Tensile</v>
      </c>
      <c r="L85" s="86">
        <f>VLOOKUP(C85,'Tie-Down Provision Workings'!$C$10:$AT$69,36,FALSE)</f>
        <v>29.43</v>
      </c>
      <c r="M85" s="88">
        <f>VLOOKUP(C85,'Tie-Down Provision Workings'!$C$10:$AT$69,42,FALSE)</f>
        <v>389.13217804960925</v>
      </c>
    </row>
    <row r="86" spans="2:13" x14ac:dyDescent="0.25">
      <c r="B86" s="181"/>
      <c r="C86" s="189"/>
      <c r="D86" s="192"/>
      <c r="E86" s="20" t="s">
        <v>74</v>
      </c>
      <c r="F86" s="120">
        <f t="shared" si="13"/>
        <v>2</v>
      </c>
      <c r="G86" s="86">
        <f>VLOOKUP(C85,'Tie-Down Provision Workings'!$C$10:$AT$69,4,FALSE)</f>
        <v>58.86</v>
      </c>
      <c r="H86" s="164"/>
      <c r="I86" s="167"/>
      <c r="J86" s="86">
        <f>IF(K86="Shear",VLOOKUP(C85,'Tie-Down Provision Workings'!$C$10:$AT$69,13,FALSE),VLOOKUP(C85,'Tie-Down Provision Workings'!$C$10:$AT$69,12,FALSE))</f>
        <v>5726.08</v>
      </c>
      <c r="K86" s="87" t="str">
        <f>VLOOKUP(C85,'Tie-Down Provision Workings'!$C$10:$AT$69,40,FALSE)</f>
        <v>Shear</v>
      </c>
      <c r="L86" s="86">
        <f>VLOOKUP(C85,'Tie-Down Provision Workings'!$C$10:$AT$69,37,FALSE)</f>
        <v>14.715</v>
      </c>
      <c r="M86" s="88">
        <f>VLOOKUP(C85,'Tie-Down Provision Workings'!$C$10:$AT$69,43,FALSE)</f>
        <v>389.13217804960925</v>
      </c>
    </row>
    <row r="87" spans="2:13" x14ac:dyDescent="0.25">
      <c r="B87" s="182"/>
      <c r="C87" s="190"/>
      <c r="D87" s="193"/>
      <c r="E87" s="20" t="s">
        <v>2</v>
      </c>
      <c r="F87" s="120">
        <f t="shared" si="14"/>
        <v>1.5</v>
      </c>
      <c r="G87" s="86">
        <f>VLOOKUP(C85,'Tie-Down Provision Workings'!$C$10:$AT$69,5,FALSE)</f>
        <v>44.144999999999996</v>
      </c>
      <c r="H87" s="165"/>
      <c r="I87" s="168"/>
      <c r="J87" s="86">
        <f>IF(K87="Shear",VLOOKUP(C85,'Tie-Down Provision Workings'!$C$10:$AT$69,13,FALSE),VLOOKUP(C85,'Tie-Down Provision Workings'!$C$10:$AT$69,12,FALSE))</f>
        <v>5726.08</v>
      </c>
      <c r="K87" s="87" t="str">
        <f>VLOOKUP(C85,'Tie-Down Provision Workings'!$C$10:$AT$69,41,FALSE)</f>
        <v>Shear</v>
      </c>
      <c r="L87" s="86">
        <f>VLOOKUP(C85,'Tie-Down Provision Workings'!$C$10:$AT$69,38,FALSE)</f>
        <v>11.036249999999999</v>
      </c>
      <c r="M87" s="88">
        <f>VLOOKUP(C85,'Tie-Down Provision Workings'!$C$10:$AT$69,44,FALSE)</f>
        <v>518.84290406614571</v>
      </c>
    </row>
    <row r="88" spans="2:13" x14ac:dyDescent="0.25">
      <c r="B88" s="185">
        <v>24</v>
      </c>
      <c r="C88" s="194" t="str">
        <f>VLOOKUP(B88,'Tie-Down Provision Workings'!$B$10:$AT$69,2,FALSE)</f>
        <v>EM Mast Capacity Bank fastened to front wall</v>
      </c>
      <c r="D88" s="200">
        <f>VLOOKUP(C88,'Tie-Down Provision Workings'!$C$10:$AT$69,2,FALSE)</f>
        <v>10.8</v>
      </c>
      <c r="E88" s="22" t="s">
        <v>73</v>
      </c>
      <c r="F88" s="119">
        <f t="shared" si="15"/>
        <v>4</v>
      </c>
      <c r="G88" s="80">
        <f>VLOOKUP(C88,'Tie-Down Provision Workings'!$C$10:$AT$69,3,FALSE)</f>
        <v>423.79200000000003</v>
      </c>
      <c r="H88" s="169" t="str">
        <f>VLOOKUP(C88,'Tie-Down Provision Workings'!$C$10:$AT$69,8,FALSE)</f>
        <v>M6</v>
      </c>
      <c r="I88" s="160">
        <f>'Tie-Down Provision Workings'!S33</f>
        <v>4</v>
      </c>
      <c r="J88" s="80">
        <f>IF(K88="Shear",VLOOKUP(C88,'Tie-Down Provision Workings'!$C$10:$AT$69,13,FALSE),VLOOKUP(C88,'Tie-Down Provision Workings'!$C$10:$AT$69,12,FALSE))</f>
        <v>11452.16</v>
      </c>
      <c r="K88" s="81" t="str">
        <f>VLOOKUP(C88,'Tie-Down Provision Workings'!$C$10:$AT$69,39,FALSE)</f>
        <v>Tensile</v>
      </c>
      <c r="L88" s="80">
        <f>VLOOKUP(C88,'Tie-Down Provision Workings'!$C$10:$AT$69,36,FALSE)</f>
        <v>105.94800000000001</v>
      </c>
      <c r="M88" s="82">
        <f>VLOOKUP(C88,'Tie-Down Provision Workings'!$C$10:$AT$69,42,FALSE)</f>
        <v>108.092271680447</v>
      </c>
    </row>
    <row r="89" spans="2:13" x14ac:dyDescent="0.25">
      <c r="B89" s="186"/>
      <c r="C89" s="195"/>
      <c r="D89" s="201"/>
      <c r="E89" s="23" t="s">
        <v>74</v>
      </c>
      <c r="F89" s="119">
        <f t="shared" si="16"/>
        <v>2</v>
      </c>
      <c r="G89" s="80">
        <f>VLOOKUP(C88,'Tie-Down Provision Workings'!$C$10:$AT$69,4,FALSE)</f>
        <v>211.89600000000002</v>
      </c>
      <c r="H89" s="170"/>
      <c r="I89" s="161"/>
      <c r="J89" s="80">
        <f>IF(K89="Shear",VLOOKUP(C88,'Tie-Down Provision Workings'!$C$10:$AT$69,13,FALSE),VLOOKUP(C88,'Tie-Down Provision Workings'!$C$10:$AT$69,12,FALSE))</f>
        <v>5726.08</v>
      </c>
      <c r="K89" s="81" t="str">
        <f>VLOOKUP(C88,'Tie-Down Provision Workings'!$C$10:$AT$69,40,FALSE)</f>
        <v>Shear</v>
      </c>
      <c r="L89" s="80">
        <f>VLOOKUP(C88,'Tie-Down Provision Workings'!$C$10:$AT$69,37,FALSE)</f>
        <v>52.974000000000004</v>
      </c>
      <c r="M89" s="82">
        <f>VLOOKUP(C88,'Tie-Down Provision Workings'!$C$10:$AT$69,43,FALSE)</f>
        <v>108.092271680447</v>
      </c>
    </row>
    <row r="90" spans="2:13" x14ac:dyDescent="0.25">
      <c r="B90" s="187"/>
      <c r="C90" s="196"/>
      <c r="D90" s="202"/>
      <c r="E90" s="23" t="s">
        <v>2</v>
      </c>
      <c r="F90" s="119">
        <f t="shared" si="17"/>
        <v>1.5</v>
      </c>
      <c r="G90" s="80">
        <f>VLOOKUP(C88,'Tie-Down Provision Workings'!$C$10:$AT$69,5,FALSE)</f>
        <v>158.92200000000003</v>
      </c>
      <c r="H90" s="171"/>
      <c r="I90" s="162"/>
      <c r="J90" s="80">
        <f>IF(K90="Shear",VLOOKUP(C88,'Tie-Down Provision Workings'!$C$10:$AT$69,13,FALSE),VLOOKUP(C88,'Tie-Down Provision Workings'!$C$10:$AT$69,12,FALSE))</f>
        <v>5726.08</v>
      </c>
      <c r="K90" s="81" t="str">
        <f>VLOOKUP(C88,'Tie-Down Provision Workings'!$C$10:$AT$69,41,FALSE)</f>
        <v>Shear</v>
      </c>
      <c r="L90" s="80">
        <f>VLOOKUP(C88,'Tie-Down Provision Workings'!$C$10:$AT$69,38,FALSE)</f>
        <v>39.730500000000006</v>
      </c>
      <c r="M90" s="82">
        <f>VLOOKUP(C88,'Tie-Down Provision Workings'!$C$10:$AT$69,44,FALSE)</f>
        <v>144.12302890726266</v>
      </c>
    </row>
    <row r="91" spans="2:13" x14ac:dyDescent="0.25">
      <c r="B91" s="180">
        <v>25</v>
      </c>
      <c r="C91" s="188" t="str">
        <f>VLOOKUP(B91,'Tie-Down Provision Workings'!$B$10:$AT$69,2,FALSE)</f>
        <v>Front Protective Guard fastened to the top beam at Outdoor Facilities Area</v>
      </c>
      <c r="D91" s="191">
        <f>VLOOKUP(C91,'Tie-Down Provision Workings'!$C$10:$AT$69,2,FALSE)</f>
        <v>6</v>
      </c>
      <c r="E91" s="18" t="s">
        <v>73</v>
      </c>
      <c r="F91" s="120">
        <f t="shared" ref="F91" si="36">$D$4</f>
        <v>4</v>
      </c>
      <c r="G91" s="86">
        <f>VLOOKUP(C91,'Tie-Down Provision Workings'!$C$10:$AT$69,3,FALSE)</f>
        <v>235.44</v>
      </c>
      <c r="H91" s="163" t="str">
        <f>VLOOKUP(C91,'Tie-Down Provision Workings'!$C$10:$AT$69,8,FALSE)</f>
        <v>M6</v>
      </c>
      <c r="I91" s="166">
        <f>'Tie-Down Provision Workings'!S34</f>
        <v>12</v>
      </c>
      <c r="J91" s="86">
        <f>IF(K91="Shear",VLOOKUP(C91,'Tie-Down Provision Workings'!$C$10:$AT$69,13,FALSE),VLOOKUP(C91,'Tie-Down Provision Workings'!$C$10:$AT$69,12,FALSE))</f>
        <v>11452.16</v>
      </c>
      <c r="K91" s="87" t="str">
        <f>VLOOKUP(C91,'Tie-Down Provision Workings'!$C$10:$AT$69,39,FALSE)</f>
        <v>Tensile</v>
      </c>
      <c r="L91" s="86">
        <f>VLOOKUP(C91,'Tie-Down Provision Workings'!$C$10:$AT$69,36,FALSE)</f>
        <v>19.62</v>
      </c>
      <c r="M91" s="88">
        <f>VLOOKUP(C91,'Tie-Down Provision Workings'!$C$10:$AT$69,42,FALSE)</f>
        <v>583.69826707441382</v>
      </c>
    </row>
    <row r="92" spans="2:13" x14ac:dyDescent="0.25">
      <c r="B92" s="181"/>
      <c r="C92" s="189"/>
      <c r="D92" s="192"/>
      <c r="E92" s="20" t="s">
        <v>74</v>
      </c>
      <c r="F92" s="120">
        <f t="shared" ref="F92" si="37">$D$5</f>
        <v>2</v>
      </c>
      <c r="G92" s="86">
        <f>VLOOKUP(C91,'Tie-Down Provision Workings'!$C$10:$AT$69,4,FALSE)</f>
        <v>117.72</v>
      </c>
      <c r="H92" s="164"/>
      <c r="I92" s="167"/>
      <c r="J92" s="86">
        <f>IF(K92="Shear",VLOOKUP(C91,'Tie-Down Provision Workings'!$C$10:$AT$69,13,FALSE),VLOOKUP(C91,'Tie-Down Provision Workings'!$C$10:$AT$69,12,FALSE))</f>
        <v>5726.08</v>
      </c>
      <c r="K92" s="87" t="str">
        <f>VLOOKUP(C91,'Tie-Down Provision Workings'!$C$10:$AT$69,40,FALSE)</f>
        <v>Shear</v>
      </c>
      <c r="L92" s="86">
        <f>VLOOKUP(C91,'Tie-Down Provision Workings'!$C$10:$AT$69,37,FALSE)</f>
        <v>9.81</v>
      </c>
      <c r="M92" s="88">
        <f>VLOOKUP(C91,'Tie-Down Provision Workings'!$C$10:$AT$69,43,FALSE)</f>
        <v>583.69826707441382</v>
      </c>
    </row>
    <row r="93" spans="2:13" x14ac:dyDescent="0.25">
      <c r="B93" s="182"/>
      <c r="C93" s="190"/>
      <c r="D93" s="193"/>
      <c r="E93" s="20" t="s">
        <v>2</v>
      </c>
      <c r="F93" s="120">
        <f t="shared" ref="F93" si="38">$D$6</f>
        <v>1.5</v>
      </c>
      <c r="G93" s="86">
        <f>VLOOKUP(C91,'Tie-Down Provision Workings'!$C$10:$AT$69,5,FALSE)</f>
        <v>88.289999999999992</v>
      </c>
      <c r="H93" s="165"/>
      <c r="I93" s="168"/>
      <c r="J93" s="86">
        <f>IF(K93="Shear",VLOOKUP(C91,'Tie-Down Provision Workings'!$C$10:$AT$69,13,FALSE),VLOOKUP(C91,'Tie-Down Provision Workings'!$C$10:$AT$69,12,FALSE))</f>
        <v>5726.08</v>
      </c>
      <c r="K93" s="87" t="str">
        <f>VLOOKUP(C91,'Tie-Down Provision Workings'!$C$10:$AT$69,41,FALSE)</f>
        <v>Shear</v>
      </c>
      <c r="L93" s="86">
        <f>VLOOKUP(C91,'Tie-Down Provision Workings'!$C$10:$AT$69,38,FALSE)</f>
        <v>7.357499999999999</v>
      </c>
      <c r="M93" s="88">
        <f>VLOOKUP(C91,'Tie-Down Provision Workings'!$C$10:$AT$69,44,FALSE)</f>
        <v>778.26435609921862</v>
      </c>
    </row>
    <row r="94" spans="2:13" x14ac:dyDescent="0.25">
      <c r="B94" s="185">
        <v>26</v>
      </c>
      <c r="C94" s="194" t="str">
        <f>VLOOKUP(B94,'Tie-Down Provision Workings'!$B$10:$AT$69,2,FALSE)</f>
        <v>Left Protective Guard fastened to the top beam at Outdoor Facilities Area</v>
      </c>
      <c r="D94" s="197">
        <f>VLOOKUP(C94,'Tie-Down Provision Workings'!$C$10:$AT$69,2,FALSE)</f>
        <v>6</v>
      </c>
      <c r="E94" s="22" t="s">
        <v>73</v>
      </c>
      <c r="F94" s="119">
        <f t="shared" si="12"/>
        <v>4</v>
      </c>
      <c r="G94" s="80">
        <f>VLOOKUP(C94,'Tie-Down Provision Workings'!$C$10:$AT$69,3,FALSE)</f>
        <v>235.44</v>
      </c>
      <c r="H94" s="169" t="str">
        <f>VLOOKUP(C94,'Tie-Down Provision Workings'!$C$10:$AT$69,8,FALSE)</f>
        <v>M8</v>
      </c>
      <c r="I94" s="160">
        <f>'Tie-Down Provision Workings'!S35</f>
        <v>12</v>
      </c>
      <c r="J94" s="80">
        <f>IF(K94="Shear",VLOOKUP(C94,'Tie-Down Provision Workings'!$C$10:$AT$69,13,FALSE),VLOOKUP(C94,'Tie-Down Provision Workings'!$C$10:$AT$69,12,FALSE))</f>
        <v>10509.12</v>
      </c>
      <c r="K94" s="81" t="str">
        <f>VLOOKUP(C94,'Tie-Down Provision Workings'!$C$10:$AT$69,39,FALSE)</f>
        <v>Shear</v>
      </c>
      <c r="L94" s="80">
        <f>VLOOKUP(C94,'Tie-Down Provision Workings'!$C$10:$AT$69,36,FALSE)</f>
        <v>19.62</v>
      </c>
      <c r="M94" s="82">
        <f>VLOOKUP(C94,'Tie-Down Provision Workings'!$C$10:$AT$69,42,FALSE)</f>
        <v>535.63302752293578</v>
      </c>
    </row>
    <row r="95" spans="2:13" x14ac:dyDescent="0.25">
      <c r="B95" s="186"/>
      <c r="C95" s="195"/>
      <c r="D95" s="198"/>
      <c r="E95" s="23" t="s">
        <v>74</v>
      </c>
      <c r="F95" s="119">
        <f t="shared" si="13"/>
        <v>2</v>
      </c>
      <c r="G95" s="80">
        <f>VLOOKUP(C94,'Tie-Down Provision Workings'!$C$10:$AT$69,4,FALSE)</f>
        <v>117.72</v>
      </c>
      <c r="H95" s="170"/>
      <c r="I95" s="161"/>
      <c r="J95" s="80">
        <f>IF(K95="Shear",VLOOKUP(C94,'Tie-Down Provision Workings'!$C$10:$AT$69,13,FALSE),VLOOKUP(C94,'Tie-Down Provision Workings'!$C$10:$AT$69,12,FALSE))</f>
        <v>10509.12</v>
      </c>
      <c r="K95" s="81" t="str">
        <f>VLOOKUP(C94,'Tie-Down Provision Workings'!$C$10:$AT$69,40,FALSE)</f>
        <v>Shear</v>
      </c>
      <c r="L95" s="80">
        <f>VLOOKUP(C94,'Tie-Down Provision Workings'!$C$10:$AT$69,37,FALSE)</f>
        <v>9.81</v>
      </c>
      <c r="M95" s="82">
        <f>VLOOKUP(C94,'Tie-Down Provision Workings'!$C$10:$AT$69,43,FALSE)</f>
        <v>1071.2660550458716</v>
      </c>
    </row>
    <row r="96" spans="2:13" x14ac:dyDescent="0.25">
      <c r="B96" s="187"/>
      <c r="C96" s="196"/>
      <c r="D96" s="199"/>
      <c r="E96" s="23" t="s">
        <v>2</v>
      </c>
      <c r="F96" s="119">
        <f t="shared" si="14"/>
        <v>1.5</v>
      </c>
      <c r="G96" s="80">
        <f>VLOOKUP(C94,'Tie-Down Provision Workings'!$C$10:$AT$69,5,FALSE)</f>
        <v>88.289999999999992</v>
      </c>
      <c r="H96" s="171"/>
      <c r="I96" s="162"/>
      <c r="J96" s="80">
        <f>IF(K96="Shear",VLOOKUP(C94,'Tie-Down Provision Workings'!$C$10:$AT$69,13,FALSE),VLOOKUP(C94,'Tie-Down Provision Workings'!$C$10:$AT$69,12,FALSE))</f>
        <v>21018.240000000002</v>
      </c>
      <c r="K96" s="81" t="str">
        <f>VLOOKUP(C94,'Tie-Down Provision Workings'!$C$10:$AT$69,41,FALSE)</f>
        <v>Tensile</v>
      </c>
      <c r="L96" s="80">
        <f>VLOOKUP(C94,'Tie-Down Provision Workings'!$C$10:$AT$69,38,FALSE)</f>
        <v>7.357499999999999</v>
      </c>
      <c r="M96" s="82">
        <f>VLOOKUP(C94,'Tie-Down Provision Workings'!$C$10:$AT$69,44,FALSE)</f>
        <v>2856.7094801223247</v>
      </c>
    </row>
    <row r="97" spans="2:13" x14ac:dyDescent="0.25">
      <c r="B97" s="217">
        <v>27</v>
      </c>
      <c r="C97" s="188" t="str">
        <f>VLOOKUP(B97,'Tie-Down Provision Workings'!$B$10:$AT$69,2,FALSE)</f>
        <v>Right Protective Guard fastened to the top beam at Outdoor Facilities Area</v>
      </c>
      <c r="D97" s="191">
        <f>VLOOKUP(C97,'Tie-Down Provision Workings'!$C$10:$AT$69,2,FALSE)</f>
        <v>4</v>
      </c>
      <c r="E97" s="84" t="s">
        <v>73</v>
      </c>
      <c r="F97" s="116">
        <f t="shared" si="15"/>
        <v>4</v>
      </c>
      <c r="G97" s="86">
        <f>VLOOKUP(C97,'Tie-Down Provision Workings'!$C$10:$AT$69,3,FALSE)</f>
        <v>156.96</v>
      </c>
      <c r="H97" s="163" t="str">
        <f>VLOOKUP(C97,'Tie-Down Provision Workings'!$C$10:$AT$69,8,FALSE)</f>
        <v>M8</v>
      </c>
      <c r="I97" s="166">
        <f>'Tie-Down Provision Workings'!S36</f>
        <v>8</v>
      </c>
      <c r="J97" s="86">
        <f>IF(K97="Shear",VLOOKUP(C97,'Tie-Down Provision Workings'!$C$10:$AT$69,13,FALSE),VLOOKUP(C97,'Tie-Down Provision Workings'!$C$10:$AT$69,12,FALSE))</f>
        <v>10509.12</v>
      </c>
      <c r="K97" s="87" t="str">
        <f>VLOOKUP(C97,'Tie-Down Provision Workings'!$C$10:$AT$69,39,FALSE)</f>
        <v>Shear</v>
      </c>
      <c r="L97" s="86">
        <f>VLOOKUP(C97,'Tie-Down Provision Workings'!$C$10:$AT$69,36,FALSE)</f>
        <v>19.62</v>
      </c>
      <c r="M97" s="88">
        <f>VLOOKUP(C97,'Tie-Down Provision Workings'!$C$10:$AT$69,42,FALSE)</f>
        <v>535.63302752293578</v>
      </c>
    </row>
    <row r="98" spans="2:13" x14ac:dyDescent="0.25">
      <c r="B98" s="218"/>
      <c r="C98" s="189"/>
      <c r="D98" s="192"/>
      <c r="E98" s="115" t="s">
        <v>74</v>
      </c>
      <c r="F98" s="116">
        <f t="shared" si="16"/>
        <v>2</v>
      </c>
      <c r="G98" s="86">
        <f>VLOOKUP(C97,'Tie-Down Provision Workings'!$C$10:$AT$69,4,FALSE)</f>
        <v>78.48</v>
      </c>
      <c r="H98" s="164"/>
      <c r="I98" s="167"/>
      <c r="J98" s="86">
        <f>IF(K98="Shear",VLOOKUP(C97,'Tie-Down Provision Workings'!$C$10:$AT$69,13,FALSE),VLOOKUP(C97,'Tie-Down Provision Workings'!$C$10:$AT$69,12,FALSE))</f>
        <v>10509.12</v>
      </c>
      <c r="K98" s="87" t="str">
        <f>VLOOKUP(C97,'Tie-Down Provision Workings'!$C$10:$AT$69,40,FALSE)</f>
        <v>Shear</v>
      </c>
      <c r="L98" s="86">
        <f>VLOOKUP(C97,'Tie-Down Provision Workings'!$C$10:$AT$69,37,FALSE)</f>
        <v>9.81</v>
      </c>
      <c r="M98" s="88">
        <f>VLOOKUP(C97,'Tie-Down Provision Workings'!$C$10:$AT$69,43,FALSE)</f>
        <v>1071.2660550458716</v>
      </c>
    </row>
    <row r="99" spans="2:13" x14ac:dyDescent="0.25">
      <c r="B99" s="219"/>
      <c r="C99" s="190"/>
      <c r="D99" s="193"/>
      <c r="E99" s="115" t="s">
        <v>2</v>
      </c>
      <c r="F99" s="116">
        <f t="shared" si="17"/>
        <v>1.5</v>
      </c>
      <c r="G99" s="86">
        <f>VLOOKUP(C97,'Tie-Down Provision Workings'!$C$10:$AT$69,5,FALSE)</f>
        <v>58.86</v>
      </c>
      <c r="H99" s="165"/>
      <c r="I99" s="168"/>
      <c r="J99" s="86">
        <f>IF(K99="Shear",VLOOKUP(C97,'Tie-Down Provision Workings'!$C$10:$AT$69,13,FALSE),VLOOKUP(C97,'Tie-Down Provision Workings'!$C$10:$AT$69,12,FALSE))</f>
        <v>21018.240000000002</v>
      </c>
      <c r="K99" s="87" t="str">
        <f>VLOOKUP(C97,'Tie-Down Provision Workings'!$C$10:$AT$69,41,FALSE)</f>
        <v>Tensile</v>
      </c>
      <c r="L99" s="86">
        <f>VLOOKUP(C97,'Tie-Down Provision Workings'!$C$10:$AT$69,38,FALSE)</f>
        <v>7.3574999999999999</v>
      </c>
      <c r="M99" s="88">
        <f>VLOOKUP(C97,'Tie-Down Provision Workings'!$C$10:$AT$69,44,FALSE)</f>
        <v>2856.7094801223243</v>
      </c>
    </row>
    <row r="100" spans="2:13" x14ac:dyDescent="0.25">
      <c r="B100" s="209">
        <v>28</v>
      </c>
      <c r="C100" s="194" t="str">
        <f>VLOOKUP(B100,'Tie-Down Provision Workings'!$B$10:$AT$69,2,FALSE)</f>
        <v>Lower Guard Front (1, 2) fastened to the front beams at Outdoor Facilities Area</v>
      </c>
      <c r="D100" s="197">
        <f>VLOOKUP(C100,'Tie-Down Provision Workings'!$C$10:$AT$69,2,FALSE)</f>
        <v>3</v>
      </c>
      <c r="E100" s="79" t="s">
        <v>73</v>
      </c>
      <c r="F100" s="121">
        <f t="shared" ref="F100" si="39">$D$4</f>
        <v>4</v>
      </c>
      <c r="G100" s="80">
        <f>VLOOKUP(C100,'Tie-Down Provision Workings'!$C$10:$AT$69,3,FALSE)</f>
        <v>117.72</v>
      </c>
      <c r="H100" s="169" t="str">
        <f>VLOOKUP(C100,'Tie-Down Provision Workings'!$C$10:$AT$69,8,FALSE)</f>
        <v>M6</v>
      </c>
      <c r="I100" s="160">
        <f>'Tie-Down Provision Workings'!S37</f>
        <v>6</v>
      </c>
      <c r="J100" s="80">
        <f>IF(K100="Shear",VLOOKUP(C100,'Tie-Down Provision Workings'!$C$10:$AT$69,13,FALSE),VLOOKUP(C100,'Tie-Down Provision Workings'!$C$10:$AT$69,12,FALSE))</f>
        <v>11452.16</v>
      </c>
      <c r="K100" s="81" t="str">
        <f>VLOOKUP(C100,'Tie-Down Provision Workings'!$C$10:$AT$69,39,FALSE)</f>
        <v>Tensile</v>
      </c>
      <c r="L100" s="80">
        <f>VLOOKUP(C100,'Tie-Down Provision Workings'!$C$10:$AT$69,36,FALSE)</f>
        <v>19.62</v>
      </c>
      <c r="M100" s="82">
        <f>VLOOKUP(C100,'Tie-Down Provision Workings'!$C$10:$AT$69,42,FALSE)</f>
        <v>583.69826707441382</v>
      </c>
    </row>
    <row r="101" spans="2:13" x14ac:dyDescent="0.25">
      <c r="B101" s="210"/>
      <c r="C101" s="195"/>
      <c r="D101" s="198"/>
      <c r="E101" s="83" t="s">
        <v>74</v>
      </c>
      <c r="F101" s="121">
        <f t="shared" ref="F101" si="40">$D$5</f>
        <v>2</v>
      </c>
      <c r="G101" s="80">
        <f>VLOOKUP(C100,'Tie-Down Provision Workings'!$C$10:$AT$69,4,FALSE)</f>
        <v>58.86</v>
      </c>
      <c r="H101" s="170"/>
      <c r="I101" s="161"/>
      <c r="J101" s="80">
        <f>IF(K101="Shear",VLOOKUP(C100,'Tie-Down Provision Workings'!$C$10:$AT$69,13,FALSE),VLOOKUP(C100,'Tie-Down Provision Workings'!$C$10:$AT$69,12,FALSE))</f>
        <v>5726.08</v>
      </c>
      <c r="K101" s="81" t="str">
        <f>VLOOKUP(C100,'Tie-Down Provision Workings'!$C$10:$AT$69,40,FALSE)</f>
        <v>Shear</v>
      </c>
      <c r="L101" s="80">
        <f>VLOOKUP(C100,'Tie-Down Provision Workings'!$C$10:$AT$69,37,FALSE)</f>
        <v>9.81</v>
      </c>
      <c r="M101" s="82">
        <f>VLOOKUP(C100,'Tie-Down Provision Workings'!$C$10:$AT$69,43,FALSE)</f>
        <v>583.69826707441382</v>
      </c>
    </row>
    <row r="102" spans="2:13" x14ac:dyDescent="0.25">
      <c r="B102" s="211"/>
      <c r="C102" s="196"/>
      <c r="D102" s="199"/>
      <c r="E102" s="83" t="s">
        <v>2</v>
      </c>
      <c r="F102" s="121">
        <f t="shared" ref="F102" si="41">$D$6</f>
        <v>1.5</v>
      </c>
      <c r="G102" s="80">
        <f>VLOOKUP(C100,'Tie-Down Provision Workings'!$C$10:$AT$69,5,FALSE)</f>
        <v>44.144999999999996</v>
      </c>
      <c r="H102" s="171"/>
      <c r="I102" s="162"/>
      <c r="J102" s="80">
        <f>IF(K102="Shear",VLOOKUP(C100,'Tie-Down Provision Workings'!$C$10:$AT$69,13,FALSE),VLOOKUP(C100,'Tie-Down Provision Workings'!$C$10:$AT$69,12,FALSE))</f>
        <v>5726.08</v>
      </c>
      <c r="K102" s="81" t="str">
        <f>VLOOKUP(C100,'Tie-Down Provision Workings'!$C$10:$AT$69,41,FALSE)</f>
        <v>Shear</v>
      </c>
      <c r="L102" s="80">
        <f>VLOOKUP(C100,'Tie-Down Provision Workings'!$C$10:$AT$69,38,FALSE)</f>
        <v>7.357499999999999</v>
      </c>
      <c r="M102" s="82">
        <f>VLOOKUP(C100,'Tie-Down Provision Workings'!$C$10:$AT$69,44,FALSE)</f>
        <v>778.26435609921862</v>
      </c>
    </row>
    <row r="103" spans="2:13" x14ac:dyDescent="0.25">
      <c r="B103" s="217">
        <v>29</v>
      </c>
      <c r="C103" s="188" t="str">
        <f>VLOOKUP(B103,'Tie-Down Provision Workings'!$B$10:$AT$69,2,FALSE)</f>
        <v>Lower Guard Left (1, 2) &amp; Lower Guard Right fastened to the side beams at Outdoor Facilities Area</v>
      </c>
      <c r="D103" s="191">
        <f>VLOOKUP(C103,'Tie-Down Provision Workings'!$C$10:$AT$69,2,FALSE)</f>
        <v>3</v>
      </c>
      <c r="E103" s="115" t="s">
        <v>73</v>
      </c>
      <c r="F103" s="116">
        <f t="shared" ref="F103" si="42">$D$4</f>
        <v>4</v>
      </c>
      <c r="G103" s="86">
        <f>VLOOKUP(C103,'Tie-Down Provision Workings'!$C$10:$AT$69,3,FALSE)</f>
        <v>117.72</v>
      </c>
      <c r="H103" s="163" t="str">
        <f>VLOOKUP(C103,'Tie-Down Provision Workings'!$C$10:$AT$69,8,FALSE)</f>
        <v>M6</v>
      </c>
      <c r="I103" s="166">
        <f>'Tie-Down Provision Workings'!S38</f>
        <v>8</v>
      </c>
      <c r="J103" s="86">
        <f>IF(K103="Shear",VLOOKUP(C103,'Tie-Down Provision Workings'!$C$10:$AT$69,13,FALSE),VLOOKUP(C103,'Tie-Down Provision Workings'!$C$10:$AT$69,12,FALSE))</f>
        <v>5726.08</v>
      </c>
      <c r="K103" s="87" t="str">
        <f>VLOOKUP(C103,'Tie-Down Provision Workings'!$C$10:$AT$69,39,FALSE)</f>
        <v>Shear</v>
      </c>
      <c r="L103" s="86">
        <f>VLOOKUP(C103,'Tie-Down Provision Workings'!$C$10:$AT$69,36,FALSE)</f>
        <v>14.715</v>
      </c>
      <c r="M103" s="88">
        <f>VLOOKUP(C103,'Tie-Down Provision Workings'!$C$10:$AT$69,42,FALSE)</f>
        <v>389.13217804960925</v>
      </c>
    </row>
    <row r="104" spans="2:13" x14ac:dyDescent="0.25">
      <c r="B104" s="218"/>
      <c r="C104" s="189"/>
      <c r="D104" s="192"/>
      <c r="E104" s="115" t="s">
        <v>74</v>
      </c>
      <c r="F104" s="116">
        <f t="shared" ref="F104" si="43">$D$5</f>
        <v>2</v>
      </c>
      <c r="G104" s="86">
        <f>VLOOKUP(C103,'Tie-Down Provision Workings'!$C$10:$AT$69,4,FALSE)</f>
        <v>58.86</v>
      </c>
      <c r="H104" s="164"/>
      <c r="I104" s="167"/>
      <c r="J104" s="86">
        <f>IF(K104="Shear",VLOOKUP(C103,'Tie-Down Provision Workings'!$C$10:$AT$69,13,FALSE),VLOOKUP(C103,'Tie-Down Provision Workings'!$C$10:$AT$69,12,FALSE))</f>
        <v>11452.16</v>
      </c>
      <c r="K104" s="87" t="str">
        <f>VLOOKUP(C103,'Tie-Down Provision Workings'!$C$10:$AT$69,40,FALSE)</f>
        <v>Tensile</v>
      </c>
      <c r="L104" s="86">
        <f>VLOOKUP(C103,'Tie-Down Provision Workings'!$C$10:$AT$69,37,FALSE)</f>
        <v>7.3574999999999999</v>
      </c>
      <c r="M104" s="88">
        <f>VLOOKUP(C103,'Tie-Down Provision Workings'!$C$10:$AT$69,43,FALSE)</f>
        <v>1556.528712198437</v>
      </c>
    </row>
    <row r="105" spans="2:13" x14ac:dyDescent="0.25">
      <c r="B105" s="219"/>
      <c r="C105" s="190"/>
      <c r="D105" s="193"/>
      <c r="E105" s="115" t="s">
        <v>2</v>
      </c>
      <c r="F105" s="116">
        <f t="shared" ref="F105" si="44">$D$6</f>
        <v>1.5</v>
      </c>
      <c r="G105" s="86">
        <f>VLOOKUP(C103,'Tie-Down Provision Workings'!$C$10:$AT$69,5,FALSE)</f>
        <v>44.144999999999996</v>
      </c>
      <c r="H105" s="165"/>
      <c r="I105" s="168"/>
      <c r="J105" s="86">
        <f>IF(K105="Shear",VLOOKUP(C103,'Tie-Down Provision Workings'!$C$10:$AT$69,13,FALSE),VLOOKUP(C103,'Tie-Down Provision Workings'!$C$10:$AT$69,12,FALSE))</f>
        <v>5726.08</v>
      </c>
      <c r="K105" s="87" t="str">
        <f>VLOOKUP(C103,'Tie-Down Provision Workings'!$C$10:$AT$69,41,FALSE)</f>
        <v>Shear</v>
      </c>
      <c r="L105" s="86">
        <f>VLOOKUP(C103,'Tie-Down Provision Workings'!$C$10:$AT$69,38,FALSE)</f>
        <v>5.5181249999999995</v>
      </c>
      <c r="M105" s="88">
        <f>VLOOKUP(C103,'Tie-Down Provision Workings'!$C$10:$AT$69,44,FALSE)</f>
        <v>1037.6858081322914</v>
      </c>
    </row>
    <row r="106" spans="2:13" ht="15.75" thickBot="1" x14ac:dyDescent="0.3">
      <c r="B106" s="14"/>
      <c r="C106" s="14"/>
      <c r="D106" s="31"/>
      <c r="E106" s="32"/>
      <c r="F106" s="14"/>
      <c r="G106" s="33"/>
      <c r="H106" s="14"/>
      <c r="I106" s="14"/>
      <c r="J106" s="14"/>
      <c r="K106" s="33"/>
      <c r="L106" s="33"/>
      <c r="M106" s="33"/>
    </row>
    <row r="107" spans="2:13" ht="15" customHeight="1" thickTop="1" thickBot="1" x14ac:dyDescent="0.3">
      <c r="B107" s="15"/>
      <c r="C107" s="15"/>
      <c r="D107" s="15"/>
      <c r="E107" s="212" t="s">
        <v>69</v>
      </c>
      <c r="F107" s="213"/>
      <c r="G107" s="213"/>
      <c r="H107" s="214" t="s">
        <v>67</v>
      </c>
      <c r="I107" s="215"/>
      <c r="J107" s="215"/>
      <c r="K107" s="215"/>
      <c r="L107" s="215"/>
      <c r="M107" s="216"/>
    </row>
    <row r="108" spans="2:13" ht="45.75" thickTop="1" x14ac:dyDescent="0.25">
      <c r="B108" s="75" t="s">
        <v>0</v>
      </c>
      <c r="C108" s="76" t="s">
        <v>1</v>
      </c>
      <c r="D108" s="76" t="s">
        <v>95</v>
      </c>
      <c r="E108" s="16" t="s">
        <v>75</v>
      </c>
      <c r="F108" s="16" t="s">
        <v>76</v>
      </c>
      <c r="G108" s="16" t="s">
        <v>78</v>
      </c>
      <c r="H108" s="16" t="s">
        <v>68</v>
      </c>
      <c r="I108" s="16" t="s">
        <v>70</v>
      </c>
      <c r="J108" s="16" t="s">
        <v>66</v>
      </c>
      <c r="K108" s="16" t="s">
        <v>77</v>
      </c>
      <c r="L108" s="16" t="s">
        <v>71</v>
      </c>
      <c r="M108" s="17" t="s">
        <v>72</v>
      </c>
    </row>
    <row r="109" spans="2:13" x14ac:dyDescent="0.25">
      <c r="B109" s="209">
        <v>30</v>
      </c>
      <c r="C109" s="178" t="str">
        <f>VLOOKUP(B109,'Tie-Down Provision Workings'!$B$10:$AT$69,2,FALSE)</f>
        <v>ODU Guard (1, 2) fastened to the left side beams at Outdoor Facilities Area</v>
      </c>
      <c r="D109" s="179">
        <f>VLOOKUP(C109,'Tie-Down Provision Workings'!$C$10:$AT$69,2,FALSE)</f>
        <v>4</v>
      </c>
      <c r="E109" s="83" t="s">
        <v>73</v>
      </c>
      <c r="F109" s="121">
        <f t="shared" ref="F109:F151" si="45">$D$4</f>
        <v>4</v>
      </c>
      <c r="G109" s="80">
        <f>VLOOKUP(C109,'Tie-Down Provision Workings'!$C$10:$AT$69,3,FALSE)</f>
        <v>156.96</v>
      </c>
      <c r="H109" s="169" t="str">
        <f>VLOOKUP(C109,'Tie-Down Provision Workings'!$C$10:$AT$69,8,FALSE)</f>
        <v>M6</v>
      </c>
      <c r="I109" s="169">
        <f>'Tie-Down Provision Workings'!S39</f>
        <v>6</v>
      </c>
      <c r="J109" s="80">
        <f>IF(K109="Shear",VLOOKUP(C109,'Tie-Down Provision Workings'!$C$10:$AT$69,13,FALSE),VLOOKUP(C109,'Tie-Down Provision Workings'!$C$10:$AT$69,12,FALSE))</f>
        <v>5726.08</v>
      </c>
      <c r="K109" s="81" t="str">
        <f>VLOOKUP(C109,'Tie-Down Provision Workings'!$C$10:$AT$69,39,FALSE)</f>
        <v>Shear</v>
      </c>
      <c r="L109" s="80">
        <f>VLOOKUP(C109,'Tie-Down Provision Workings'!$C$10:$AT$69,36,FALSE)</f>
        <v>26.16</v>
      </c>
      <c r="M109" s="82">
        <f>VLOOKUP(C109,'Tie-Down Provision Workings'!$C$10:$AT$69,42,FALSE)</f>
        <v>218.8868501529052</v>
      </c>
    </row>
    <row r="110" spans="2:13" x14ac:dyDescent="0.25">
      <c r="B110" s="210"/>
      <c r="C110" s="178"/>
      <c r="D110" s="179"/>
      <c r="E110" s="83" t="s">
        <v>74</v>
      </c>
      <c r="F110" s="121">
        <f t="shared" ref="F110:F152" si="46">$D$5</f>
        <v>2</v>
      </c>
      <c r="G110" s="80">
        <f>VLOOKUP(C109,'Tie-Down Provision Workings'!$C$10:$AT$69,4,FALSE)</f>
        <v>78.48</v>
      </c>
      <c r="H110" s="170"/>
      <c r="I110" s="170"/>
      <c r="J110" s="80">
        <f>IF(K110="Shear",VLOOKUP(C109,'Tie-Down Provision Workings'!$C$10:$AT$69,13,FALSE),VLOOKUP(C109,'Tie-Down Provision Workings'!$C$10:$AT$69,12,FALSE))</f>
        <v>5726.08</v>
      </c>
      <c r="K110" s="81" t="str">
        <f>VLOOKUP(C109,'Tie-Down Provision Workings'!$C$10:$AT$69,40,FALSE)</f>
        <v>Shear</v>
      </c>
      <c r="L110" s="80">
        <f>VLOOKUP(C109,'Tie-Down Provision Workings'!$C$10:$AT$69,37,FALSE)</f>
        <v>13.08</v>
      </c>
      <c r="M110" s="82">
        <f>VLOOKUP(C109,'Tie-Down Provision Workings'!$C$10:$AT$69,43,FALSE)</f>
        <v>437.77370030581039</v>
      </c>
    </row>
    <row r="111" spans="2:13" x14ac:dyDescent="0.25">
      <c r="B111" s="211"/>
      <c r="C111" s="178"/>
      <c r="D111" s="179"/>
      <c r="E111" s="83" t="s">
        <v>2</v>
      </c>
      <c r="F111" s="121">
        <f t="shared" ref="F111:F135" si="47">$D$6</f>
        <v>1.5</v>
      </c>
      <c r="G111" s="80">
        <f>VLOOKUP(C109,'Tie-Down Provision Workings'!$C$10:$AT$69,5,FALSE)</f>
        <v>58.86</v>
      </c>
      <c r="H111" s="171"/>
      <c r="I111" s="171"/>
      <c r="J111" s="80">
        <f>IF(K111="Shear",VLOOKUP(C109,'Tie-Down Provision Workings'!$C$10:$AT$69,13,FALSE),VLOOKUP(C109,'Tie-Down Provision Workings'!$C$10:$AT$69,12,FALSE))</f>
        <v>11452.16</v>
      </c>
      <c r="K111" s="81" t="str">
        <f>VLOOKUP(C109,'Tie-Down Provision Workings'!$C$10:$AT$69,41,FALSE)</f>
        <v>Tensile</v>
      </c>
      <c r="L111" s="80">
        <f>VLOOKUP(C109,'Tie-Down Provision Workings'!$C$10:$AT$69,38,FALSE)</f>
        <v>9.81</v>
      </c>
      <c r="M111" s="82">
        <f>VLOOKUP(C109,'Tie-Down Provision Workings'!$C$10:$AT$69,44,FALSE)</f>
        <v>1167.3965341488276</v>
      </c>
    </row>
    <row r="112" spans="2:13" x14ac:dyDescent="0.25">
      <c r="B112" s="217">
        <v>31</v>
      </c>
      <c r="C112" s="183" t="str">
        <f>VLOOKUP(B112,'Tie-Down Provision Workings'!$B$10:$AT$69,2,FALSE)</f>
        <v>LTE Antenna Big (1,2,3) fastened on top of the EM mast</v>
      </c>
      <c r="D112" s="184">
        <f>VLOOKUP(C112,'Tie-Down Provision Workings'!$C$10:$AT$69,2,FALSE)</f>
        <v>7</v>
      </c>
      <c r="E112" s="115" t="s">
        <v>73</v>
      </c>
      <c r="F112" s="116">
        <f t="shared" si="45"/>
        <v>4</v>
      </c>
      <c r="G112" s="86">
        <f>VLOOKUP(C112,'Tie-Down Provision Workings'!$C$10:$AT$69,3,FALSE)</f>
        <v>274.68</v>
      </c>
      <c r="H112" s="163" t="str">
        <f>VLOOKUP(C112,'Tie-Down Provision Workings'!$C$10:$AT$69,8,FALSE)</f>
        <v>M8</v>
      </c>
      <c r="I112" s="163">
        <f>'Tie-Down Provision Workings'!S40</f>
        <v>4</v>
      </c>
      <c r="J112" s="86">
        <f>IF(K112="Shear",VLOOKUP(C112,'Tie-Down Provision Workings'!$C$10:$AT$69,13,FALSE),VLOOKUP(C112,'Tie-Down Provision Workings'!$C$10:$AT$69,12,FALSE))</f>
        <v>10509.12</v>
      </c>
      <c r="K112" s="87" t="str">
        <f>VLOOKUP(C112,'Tie-Down Provision Workings'!$C$10:$AT$69,39,FALSE)</f>
        <v>Shear</v>
      </c>
      <c r="L112" s="86">
        <f>VLOOKUP(C112,'Tie-Down Provision Workings'!$C$10:$AT$69,36,FALSE)</f>
        <v>68.67</v>
      </c>
      <c r="M112" s="88">
        <f>VLOOKUP(C112,'Tie-Down Provision Workings'!$C$10:$AT$69,42,FALSE)</f>
        <v>153.03800786369595</v>
      </c>
    </row>
    <row r="113" spans="2:13" x14ac:dyDescent="0.25">
      <c r="B113" s="218"/>
      <c r="C113" s="183"/>
      <c r="D113" s="184"/>
      <c r="E113" s="115" t="s">
        <v>74</v>
      </c>
      <c r="F113" s="116">
        <f t="shared" si="46"/>
        <v>2</v>
      </c>
      <c r="G113" s="86">
        <f>VLOOKUP(C112,'Tie-Down Provision Workings'!$C$10:$AT$69,4,FALSE)</f>
        <v>137.34</v>
      </c>
      <c r="H113" s="164"/>
      <c r="I113" s="164"/>
      <c r="J113" s="86">
        <f>IF(K113="Shear",VLOOKUP(C112,'Tie-Down Provision Workings'!$C$10:$AT$69,13,FALSE),VLOOKUP(C112,'Tie-Down Provision Workings'!$C$10:$AT$69,12,FALSE))</f>
        <v>10509.12</v>
      </c>
      <c r="K113" s="87" t="str">
        <f>VLOOKUP(C112,'Tie-Down Provision Workings'!$C$10:$AT$69,40,FALSE)</f>
        <v>Shear</v>
      </c>
      <c r="L113" s="86">
        <f>VLOOKUP(C112,'Tie-Down Provision Workings'!$C$10:$AT$69,37,FALSE)</f>
        <v>34.335000000000001</v>
      </c>
      <c r="M113" s="88">
        <f>VLOOKUP(C112,'Tie-Down Provision Workings'!$C$10:$AT$69,43,FALSE)</f>
        <v>306.0760157273919</v>
      </c>
    </row>
    <row r="114" spans="2:13" x14ac:dyDescent="0.25">
      <c r="B114" s="219"/>
      <c r="C114" s="183"/>
      <c r="D114" s="184"/>
      <c r="E114" s="115" t="s">
        <v>2</v>
      </c>
      <c r="F114" s="116">
        <f t="shared" si="47"/>
        <v>1.5</v>
      </c>
      <c r="G114" s="86">
        <f>VLOOKUP(C112,'Tie-Down Provision Workings'!$C$10:$AT$69,5,FALSE)</f>
        <v>103.005</v>
      </c>
      <c r="H114" s="165"/>
      <c r="I114" s="165"/>
      <c r="J114" s="86">
        <f>IF(K114="Shear",VLOOKUP(C112,'Tie-Down Provision Workings'!$C$10:$AT$69,13,FALSE),VLOOKUP(C112,'Tie-Down Provision Workings'!$C$10:$AT$69,12,FALSE))</f>
        <v>21018.240000000002</v>
      </c>
      <c r="K114" s="87" t="str">
        <f>VLOOKUP(C112,'Tie-Down Provision Workings'!$C$10:$AT$69,41,FALSE)</f>
        <v>Tensile</v>
      </c>
      <c r="L114" s="86">
        <f>VLOOKUP(C112,'Tie-Down Provision Workings'!$C$10:$AT$69,38,FALSE)</f>
        <v>25.751249999999999</v>
      </c>
      <c r="M114" s="88">
        <f>VLOOKUP(C112,'Tie-Down Provision Workings'!$C$10:$AT$69,44,FALSE)</f>
        <v>816.20270860637845</v>
      </c>
    </row>
    <row r="115" spans="2:13" x14ac:dyDescent="0.25">
      <c r="B115" s="209">
        <v>32</v>
      </c>
      <c r="C115" s="178" t="str">
        <f>VLOOKUP(B115,'Tie-Down Provision Workings'!$B$10:$AT$69,2,FALSE)</f>
        <v>LTE Antenna Small (1,2,3) fastened on top of the EM mast</v>
      </c>
      <c r="D115" s="179">
        <f>VLOOKUP(C115,'Tie-Down Provision Workings'!$C$10:$AT$69,2,FALSE)</f>
        <v>2.8</v>
      </c>
      <c r="E115" s="83" t="s">
        <v>73</v>
      </c>
      <c r="F115" s="121">
        <f t="shared" si="45"/>
        <v>4</v>
      </c>
      <c r="G115" s="80">
        <f>VLOOKUP(C115,'Tie-Down Provision Workings'!$C$10:$AT$69,3,FALSE)</f>
        <v>109.872</v>
      </c>
      <c r="H115" s="169" t="str">
        <f>VLOOKUP(C115,'Tie-Down Provision Workings'!$C$10:$AT$69,8,FALSE)</f>
        <v>M8</v>
      </c>
      <c r="I115" s="169">
        <f>'Tie-Down Provision Workings'!S41</f>
        <v>4</v>
      </c>
      <c r="J115" s="80">
        <f>IF(K115="Shear",VLOOKUP(C115,'Tie-Down Provision Workings'!$C$10:$AT$69,13,FALSE),VLOOKUP(C115,'Tie-Down Provision Workings'!$C$10:$AT$69,12,FALSE))</f>
        <v>10509.12</v>
      </c>
      <c r="K115" s="81" t="str">
        <f>VLOOKUP(C115,'Tie-Down Provision Workings'!$C$10:$AT$69,39,FALSE)</f>
        <v>Shear</v>
      </c>
      <c r="L115" s="80">
        <f>VLOOKUP(C115,'Tie-Down Provision Workings'!$C$10:$AT$69,36,FALSE)</f>
        <v>27.468</v>
      </c>
      <c r="M115" s="82">
        <f>VLOOKUP(C115,'Tie-Down Provision Workings'!$C$10:$AT$69,42,FALSE)</f>
        <v>382.59501965923988</v>
      </c>
    </row>
    <row r="116" spans="2:13" x14ac:dyDescent="0.25">
      <c r="B116" s="210"/>
      <c r="C116" s="178"/>
      <c r="D116" s="179"/>
      <c r="E116" s="83" t="s">
        <v>74</v>
      </c>
      <c r="F116" s="121">
        <f t="shared" si="46"/>
        <v>2</v>
      </c>
      <c r="G116" s="80">
        <f>VLOOKUP(C115,'Tie-Down Provision Workings'!$C$10:$AT$69,4,FALSE)</f>
        <v>54.936</v>
      </c>
      <c r="H116" s="170"/>
      <c r="I116" s="170"/>
      <c r="J116" s="80">
        <f>IF(K116="Shear",VLOOKUP(C115,'Tie-Down Provision Workings'!$C$10:$AT$69,13,FALSE),VLOOKUP(C115,'Tie-Down Provision Workings'!$C$10:$AT$69,12,FALSE))</f>
        <v>10509.12</v>
      </c>
      <c r="K116" s="81" t="str">
        <f>VLOOKUP(C115,'Tie-Down Provision Workings'!$C$10:$AT$69,40,FALSE)</f>
        <v>Shear</v>
      </c>
      <c r="L116" s="80">
        <f>VLOOKUP(C115,'Tie-Down Provision Workings'!$C$10:$AT$69,37,FALSE)</f>
        <v>13.734</v>
      </c>
      <c r="M116" s="82">
        <f>VLOOKUP(C115,'Tie-Down Provision Workings'!$C$10:$AT$69,43,FALSE)</f>
        <v>765.19003931847976</v>
      </c>
    </row>
    <row r="117" spans="2:13" x14ac:dyDescent="0.25">
      <c r="B117" s="211"/>
      <c r="C117" s="178"/>
      <c r="D117" s="179"/>
      <c r="E117" s="83" t="s">
        <v>2</v>
      </c>
      <c r="F117" s="121">
        <f t="shared" si="47"/>
        <v>1.5</v>
      </c>
      <c r="G117" s="80">
        <f>VLOOKUP(C115,'Tie-Down Provision Workings'!$C$10:$AT$69,5,FALSE)</f>
        <v>41.201999999999998</v>
      </c>
      <c r="H117" s="171"/>
      <c r="I117" s="171"/>
      <c r="J117" s="80">
        <f>IF(K117="Shear",VLOOKUP(C115,'Tie-Down Provision Workings'!$C$10:$AT$69,13,FALSE),VLOOKUP(C115,'Tie-Down Provision Workings'!$C$10:$AT$69,12,FALSE))</f>
        <v>21018.240000000002</v>
      </c>
      <c r="K117" s="81" t="str">
        <f>VLOOKUP(C115,'Tie-Down Provision Workings'!$C$10:$AT$69,41,FALSE)</f>
        <v>Tensile</v>
      </c>
      <c r="L117" s="80">
        <f>VLOOKUP(C115,'Tie-Down Provision Workings'!$C$10:$AT$69,38,FALSE)</f>
        <v>10.3005</v>
      </c>
      <c r="M117" s="82">
        <f>VLOOKUP(C115,'Tie-Down Provision Workings'!$C$10:$AT$69,44,FALSE)</f>
        <v>2040.5067715159462</v>
      </c>
    </row>
    <row r="118" spans="2:13" x14ac:dyDescent="0.25">
      <c r="B118" s="180">
        <v>33</v>
      </c>
      <c r="C118" s="231" t="str">
        <f>VLOOKUP(B118,'Tie-Down Provision Workings'!$B$10:$AT$69,2,FALSE)</f>
        <v>LTE Antenna Mounting w/ LTE Antennas fastened on top of the EM mast</v>
      </c>
      <c r="D118" s="184">
        <f>VLOOKUP(C118,'Tie-Down Provision Workings'!$C$10:$AT$69,2,FALSE)</f>
        <v>91</v>
      </c>
      <c r="E118" s="20" t="s">
        <v>73</v>
      </c>
      <c r="F118" s="120">
        <f t="shared" si="45"/>
        <v>4</v>
      </c>
      <c r="G118" s="86">
        <f>VLOOKUP(C118,'Tie-Down Provision Workings'!$C$10:$AT$69,3,FALSE)</f>
        <v>3570.84</v>
      </c>
      <c r="H118" s="163" t="str">
        <f>VLOOKUP(C118,'Tie-Down Provision Workings'!$C$10:$AT$69,8,FALSE)</f>
        <v>1/4-20</v>
      </c>
      <c r="I118" s="163">
        <f>'Tie-Down Provision Workings'!S42</f>
        <v>6</v>
      </c>
      <c r="J118" s="86">
        <f>IF(K118="Shear",VLOOKUP(C118,'Tie-Down Provision Workings'!$C$10:$AT$69,13,FALSE),VLOOKUP(C118,'Tie-Down Provision Workings'!$C$10:$AT$69,12,FALSE))</f>
        <v>6947.8108069915761</v>
      </c>
      <c r="K118" s="87" t="str">
        <f>VLOOKUP(C118,'Tie-Down Provision Workings'!$C$10:$AT$69,39,FALSE)</f>
        <v>Shear</v>
      </c>
      <c r="L118" s="86">
        <f>VLOOKUP(C118,'Tie-Down Provision Workings'!$C$10:$AT$69,36,FALSE)</f>
        <v>595.14</v>
      </c>
      <c r="M118" s="88">
        <f>VLOOKUP(C118,'Tie-Down Provision Workings'!$C$10:$AT$69,42,FALSE)</f>
        <v>11.67424607149843</v>
      </c>
    </row>
    <row r="119" spans="2:13" x14ac:dyDescent="0.25">
      <c r="B119" s="181"/>
      <c r="C119" s="231"/>
      <c r="D119" s="184"/>
      <c r="E119" s="20" t="s">
        <v>74</v>
      </c>
      <c r="F119" s="120">
        <f t="shared" si="46"/>
        <v>2</v>
      </c>
      <c r="G119" s="86">
        <f>VLOOKUP(C118,'Tie-Down Provision Workings'!$C$10:$AT$69,4,FALSE)</f>
        <v>1785.42</v>
      </c>
      <c r="H119" s="164"/>
      <c r="I119" s="164"/>
      <c r="J119" s="86">
        <f>IF(K119="Shear",VLOOKUP(C118,'Tie-Down Provision Workings'!$C$10:$AT$69,13,FALSE),VLOOKUP(C118,'Tie-Down Provision Workings'!$C$10:$AT$69,12,FALSE))</f>
        <v>13895.621613983152</v>
      </c>
      <c r="K119" s="87" t="str">
        <f>VLOOKUP(C118,'Tie-Down Provision Workings'!$C$10:$AT$69,40,FALSE)</f>
        <v>Tensile</v>
      </c>
      <c r="L119" s="86">
        <f>VLOOKUP(C118,'Tie-Down Provision Workings'!$C$10:$AT$69,37,FALSE)</f>
        <v>297.57</v>
      </c>
      <c r="M119" s="88">
        <f>VLOOKUP(C118,'Tie-Down Provision Workings'!$C$10:$AT$69,43,FALSE)</f>
        <v>46.696984285993722</v>
      </c>
    </row>
    <row r="120" spans="2:13" x14ac:dyDescent="0.25">
      <c r="B120" s="182"/>
      <c r="C120" s="231"/>
      <c r="D120" s="184"/>
      <c r="E120" s="20" t="s">
        <v>2</v>
      </c>
      <c r="F120" s="120">
        <f t="shared" si="47"/>
        <v>1.5</v>
      </c>
      <c r="G120" s="86">
        <f>VLOOKUP(C118,'Tie-Down Provision Workings'!$C$10:$AT$69,5,FALSE)</f>
        <v>1339.0650000000001</v>
      </c>
      <c r="H120" s="165"/>
      <c r="I120" s="165"/>
      <c r="J120" s="86">
        <f>IF(K120="Shear",VLOOKUP(C118,'Tie-Down Provision Workings'!$C$10:$AT$69,13,FALSE),VLOOKUP(C118,'Tie-Down Provision Workings'!$C$10:$AT$69,12,FALSE))</f>
        <v>6947.8108069915761</v>
      </c>
      <c r="K120" s="87" t="str">
        <f>VLOOKUP(C118,'Tie-Down Provision Workings'!$C$10:$AT$69,41,FALSE)</f>
        <v>Shear</v>
      </c>
      <c r="L120" s="86">
        <f>VLOOKUP(C118,'Tie-Down Provision Workings'!$C$10:$AT$69,38,FALSE)</f>
        <v>223.17750000000001</v>
      </c>
      <c r="M120" s="88">
        <f>VLOOKUP(C118,'Tie-Down Provision Workings'!$C$10:$AT$69,44,FALSE)</f>
        <v>31.131322857329149</v>
      </c>
    </row>
    <row r="121" spans="2:13" x14ac:dyDescent="0.25">
      <c r="B121" s="185">
        <v>34</v>
      </c>
      <c r="C121" s="178" t="str">
        <f>VLOOKUP(B121,'Tie-Down Provision Workings'!$B$10:$AT$69,2,FALSE)</f>
        <v>FRAA (1,2,3) fastened to front wall</v>
      </c>
      <c r="D121" s="179">
        <f>VLOOKUP(C121,'Tie-Down Provision Workings'!$C$10:$AT$69,2,FALSE)</f>
        <v>16.2</v>
      </c>
      <c r="E121" s="23" t="s">
        <v>73</v>
      </c>
      <c r="F121" s="119">
        <f t="shared" si="45"/>
        <v>4</v>
      </c>
      <c r="G121" s="80">
        <f>VLOOKUP(C121,'Tie-Down Provision Workings'!$C$10:$AT$69,3,FALSE)</f>
        <v>635.68799999999999</v>
      </c>
      <c r="H121" s="169" t="str">
        <f>VLOOKUP(C121,'Tie-Down Provision Workings'!$C$10:$AT$69,8,FALSE)</f>
        <v>M8</v>
      </c>
      <c r="I121" s="160">
        <f>'Tie-Down Provision Workings'!S43</f>
        <v>4</v>
      </c>
      <c r="J121" s="80">
        <f>IF(K121="Shear",VLOOKUP(C121,'Tie-Down Provision Workings'!$C$10:$AT$69,13,FALSE),VLOOKUP(C121,'Tie-Down Provision Workings'!$C$10:$AT$69,12,FALSE))</f>
        <v>21018.240000000002</v>
      </c>
      <c r="K121" s="81" t="str">
        <f>VLOOKUP(C121,'Tie-Down Provision Workings'!$C$10:$AT$69,39,FALSE)</f>
        <v>Tensile</v>
      </c>
      <c r="L121" s="80">
        <f>VLOOKUP(C121,'Tie-Down Provision Workings'!$C$10:$AT$69,36,FALSE)</f>
        <v>158.922</v>
      </c>
      <c r="M121" s="82">
        <f>VLOOKUP(C121,'Tie-Down Provision Workings'!$C$10:$AT$69,42,FALSE)</f>
        <v>132.2550685241817</v>
      </c>
    </row>
    <row r="122" spans="2:13" x14ac:dyDescent="0.25">
      <c r="B122" s="186"/>
      <c r="C122" s="178"/>
      <c r="D122" s="179"/>
      <c r="E122" s="23" t="s">
        <v>74</v>
      </c>
      <c r="F122" s="119">
        <f t="shared" si="46"/>
        <v>2</v>
      </c>
      <c r="G122" s="80">
        <f>VLOOKUP(C121,'Tie-Down Provision Workings'!$C$10:$AT$69,4,FALSE)</f>
        <v>317.84399999999999</v>
      </c>
      <c r="H122" s="170"/>
      <c r="I122" s="161"/>
      <c r="J122" s="80">
        <f>IF(K122="Shear",VLOOKUP(C121,'Tie-Down Provision Workings'!$C$10:$AT$69,13,FALSE),VLOOKUP(C121,'Tie-Down Provision Workings'!$C$10:$AT$69,12,FALSE))</f>
        <v>10509.12</v>
      </c>
      <c r="K122" s="81" t="str">
        <f>VLOOKUP(C121,'Tie-Down Provision Workings'!$C$10:$AT$69,40,FALSE)</f>
        <v>Shear</v>
      </c>
      <c r="L122" s="80">
        <f>VLOOKUP(C121,'Tie-Down Provision Workings'!$C$10:$AT$69,37,FALSE)</f>
        <v>79.460999999999999</v>
      </c>
      <c r="M122" s="82">
        <f>VLOOKUP(C121,'Tie-Down Provision Workings'!$C$10:$AT$69,43,FALSE)</f>
        <v>132.2550685241817</v>
      </c>
    </row>
    <row r="123" spans="2:13" x14ac:dyDescent="0.25">
      <c r="B123" s="187"/>
      <c r="C123" s="178"/>
      <c r="D123" s="179"/>
      <c r="E123" s="23" t="s">
        <v>2</v>
      </c>
      <c r="F123" s="119">
        <f t="shared" si="47"/>
        <v>1.5</v>
      </c>
      <c r="G123" s="80">
        <f>VLOOKUP(C121,'Tie-Down Provision Workings'!$C$10:$AT$69,5,FALSE)</f>
        <v>238.38299999999998</v>
      </c>
      <c r="H123" s="171"/>
      <c r="I123" s="162"/>
      <c r="J123" s="80">
        <f>IF(K123="Shear",VLOOKUP(C121,'Tie-Down Provision Workings'!$C$10:$AT$69,13,FALSE),VLOOKUP(C121,'Tie-Down Provision Workings'!$C$10:$AT$69,12,FALSE))</f>
        <v>10509.12</v>
      </c>
      <c r="K123" s="81" t="str">
        <f>VLOOKUP(C121,'Tie-Down Provision Workings'!$C$10:$AT$69,41,FALSE)</f>
        <v>Shear</v>
      </c>
      <c r="L123" s="80">
        <f>VLOOKUP(C121,'Tie-Down Provision Workings'!$C$10:$AT$69,38,FALSE)</f>
        <v>59.595749999999995</v>
      </c>
      <c r="M123" s="82">
        <f>VLOOKUP(C121,'Tie-Down Provision Workings'!$C$10:$AT$69,44,FALSE)</f>
        <v>176.3400913655756</v>
      </c>
    </row>
    <row r="124" spans="2:13" x14ac:dyDescent="0.25">
      <c r="B124" s="217">
        <v>35</v>
      </c>
      <c r="C124" s="183" t="str">
        <f>VLOOKUP(B124,'Tie-Down Provision Workings'!$B$10:$AT$69,2,FALSE)</f>
        <v>AHCF (1,2) fastened to front wall</v>
      </c>
      <c r="D124" s="184">
        <f>VLOOKUP(C124,'Tie-Down Provision Workings'!$C$10:$AT$69,2,FALSE)</f>
        <v>19.2</v>
      </c>
      <c r="E124" s="115" t="s">
        <v>73</v>
      </c>
      <c r="F124" s="116">
        <f t="shared" si="45"/>
        <v>4</v>
      </c>
      <c r="G124" s="86">
        <f>VLOOKUP(C124,'Tie-Down Provision Workings'!$C$10:$AT$69,3,FALSE)</f>
        <v>753.40800000000002</v>
      </c>
      <c r="H124" s="163" t="str">
        <f>VLOOKUP(C124,'Tie-Down Provision Workings'!$C$10:$AT$69,8,FALSE)</f>
        <v>M8</v>
      </c>
      <c r="I124" s="166">
        <f>'Tie-Down Provision Workings'!S44</f>
        <v>4</v>
      </c>
      <c r="J124" s="86">
        <f>IF(K124="Shear",VLOOKUP(C124,'Tie-Down Provision Workings'!$C$10:$AT$69,13,FALSE),VLOOKUP(C124,'Tie-Down Provision Workings'!$C$10:$AT$69,12,FALSE))</f>
        <v>21018.240000000002</v>
      </c>
      <c r="K124" s="87" t="str">
        <f>VLOOKUP(C124,'Tie-Down Provision Workings'!$C$10:$AT$69,39,FALSE)</f>
        <v>Tensile</v>
      </c>
      <c r="L124" s="86">
        <f>VLOOKUP(C124,'Tie-Down Provision Workings'!$C$10:$AT$69,36,FALSE)</f>
        <v>188.352</v>
      </c>
      <c r="M124" s="88">
        <f>VLOOKUP(C124,'Tie-Down Provision Workings'!$C$10:$AT$69,42,FALSE)</f>
        <v>111.5902140672783</v>
      </c>
    </row>
    <row r="125" spans="2:13" x14ac:dyDescent="0.25">
      <c r="B125" s="218"/>
      <c r="C125" s="183"/>
      <c r="D125" s="184"/>
      <c r="E125" s="115" t="s">
        <v>74</v>
      </c>
      <c r="F125" s="116">
        <f t="shared" si="46"/>
        <v>2</v>
      </c>
      <c r="G125" s="86">
        <f>VLOOKUP(C124,'Tie-Down Provision Workings'!$C$10:$AT$69,4,FALSE)</f>
        <v>376.70400000000001</v>
      </c>
      <c r="H125" s="164"/>
      <c r="I125" s="167"/>
      <c r="J125" s="86">
        <f>IF(K125="Shear",VLOOKUP(C124,'Tie-Down Provision Workings'!$C$10:$AT$69,13,FALSE),VLOOKUP(C124,'Tie-Down Provision Workings'!$C$10:$AT$69,12,FALSE))</f>
        <v>10509.12</v>
      </c>
      <c r="K125" s="87" t="str">
        <f>VLOOKUP(C124,'Tie-Down Provision Workings'!$C$10:$AT$69,40,FALSE)</f>
        <v>Shear</v>
      </c>
      <c r="L125" s="86">
        <f>VLOOKUP(C124,'Tie-Down Provision Workings'!$C$10:$AT$69,37,FALSE)</f>
        <v>94.176000000000002</v>
      </c>
      <c r="M125" s="88">
        <f>VLOOKUP(C124,'Tie-Down Provision Workings'!$C$10:$AT$69,43,FALSE)</f>
        <v>111.5902140672783</v>
      </c>
    </row>
    <row r="126" spans="2:13" x14ac:dyDescent="0.25">
      <c r="B126" s="219"/>
      <c r="C126" s="183"/>
      <c r="D126" s="184"/>
      <c r="E126" s="115" t="s">
        <v>2</v>
      </c>
      <c r="F126" s="116">
        <f t="shared" si="47"/>
        <v>1.5</v>
      </c>
      <c r="G126" s="86">
        <f>VLOOKUP(C124,'Tie-Down Provision Workings'!$C$10:$AT$69,5,FALSE)</f>
        <v>282.52800000000002</v>
      </c>
      <c r="H126" s="165"/>
      <c r="I126" s="168"/>
      <c r="J126" s="86">
        <f>IF(K126="Shear",VLOOKUP(C124,'Tie-Down Provision Workings'!$C$10:$AT$69,13,FALSE),VLOOKUP(C124,'Tie-Down Provision Workings'!$C$10:$AT$69,12,FALSE))</f>
        <v>10509.12</v>
      </c>
      <c r="K126" s="87" t="str">
        <f>VLOOKUP(C124,'Tie-Down Provision Workings'!$C$10:$AT$69,41,FALSE)</f>
        <v>Shear</v>
      </c>
      <c r="L126" s="86">
        <f>VLOOKUP(C124,'Tie-Down Provision Workings'!$C$10:$AT$69,38,FALSE)</f>
        <v>70.632000000000005</v>
      </c>
      <c r="M126" s="88">
        <f>VLOOKUP(C124,'Tie-Down Provision Workings'!$C$10:$AT$69,44,FALSE)</f>
        <v>148.78695208970439</v>
      </c>
    </row>
    <row r="127" spans="2:13" x14ac:dyDescent="0.25">
      <c r="B127" s="209">
        <v>36</v>
      </c>
      <c r="C127" s="178" t="str">
        <f>VLOOKUP(B127,'Tie-Down Provision Workings'!$B$10:$AT$69,2,FALSE)</f>
        <v>AHCF Filter (1,2,3) fastened to front wall</v>
      </c>
      <c r="D127" s="179">
        <f>VLOOKUP(C127,'Tie-Down Provision Workings'!$C$10:$AT$69,2,FALSE)</f>
        <v>7</v>
      </c>
      <c r="E127" s="83" t="s">
        <v>73</v>
      </c>
      <c r="F127" s="121">
        <f t="shared" si="45"/>
        <v>4</v>
      </c>
      <c r="G127" s="80">
        <f>VLOOKUP(C127,'Tie-Down Provision Workings'!$C$10:$AT$69,3,FALSE)</f>
        <v>274.68</v>
      </c>
      <c r="H127" s="169" t="str">
        <f>VLOOKUP(C127,'Tie-Down Provision Workings'!$C$10:$AT$69,8,FALSE)</f>
        <v>M8</v>
      </c>
      <c r="I127" s="169">
        <f>'Tie-Down Provision Workings'!S45</f>
        <v>4</v>
      </c>
      <c r="J127" s="80">
        <f>IF(K127="Shear",VLOOKUP(C127,'Tie-Down Provision Workings'!$C$10:$AT$69,13,FALSE),VLOOKUP(C127,'Tie-Down Provision Workings'!$C$10:$AT$69,12,FALSE))</f>
        <v>21018.240000000002</v>
      </c>
      <c r="K127" s="81" t="str">
        <f>VLOOKUP(C127,'Tie-Down Provision Workings'!$C$10:$AT$69,39,FALSE)</f>
        <v>Tensile</v>
      </c>
      <c r="L127" s="80">
        <f>VLOOKUP(C127,'Tie-Down Provision Workings'!$C$10:$AT$69,36,FALSE)</f>
        <v>68.67</v>
      </c>
      <c r="M127" s="82">
        <f>VLOOKUP(C127,'Tie-Down Provision Workings'!$C$10:$AT$69,42,FALSE)</f>
        <v>306.0760157273919</v>
      </c>
    </row>
    <row r="128" spans="2:13" x14ac:dyDescent="0.25">
      <c r="B128" s="210"/>
      <c r="C128" s="178"/>
      <c r="D128" s="179"/>
      <c r="E128" s="83" t="s">
        <v>74</v>
      </c>
      <c r="F128" s="121">
        <f t="shared" si="46"/>
        <v>2</v>
      </c>
      <c r="G128" s="80">
        <f>VLOOKUP(C127,'Tie-Down Provision Workings'!$C$10:$AT$69,4,FALSE)</f>
        <v>137.34</v>
      </c>
      <c r="H128" s="170"/>
      <c r="I128" s="170"/>
      <c r="J128" s="80">
        <f>IF(K128="Shear",VLOOKUP(C127,'Tie-Down Provision Workings'!$C$10:$AT$69,13,FALSE),VLOOKUP(C127,'Tie-Down Provision Workings'!$C$10:$AT$69,12,FALSE))</f>
        <v>10509.12</v>
      </c>
      <c r="K128" s="81" t="str">
        <f>VLOOKUP(C127,'Tie-Down Provision Workings'!$C$10:$AT$69,40,FALSE)</f>
        <v>Shear</v>
      </c>
      <c r="L128" s="80">
        <f>VLOOKUP(C127,'Tie-Down Provision Workings'!$C$10:$AT$69,37,FALSE)</f>
        <v>34.335000000000001</v>
      </c>
      <c r="M128" s="82">
        <f>VLOOKUP(C127,'Tie-Down Provision Workings'!$C$10:$AT$69,43,FALSE)</f>
        <v>306.0760157273919</v>
      </c>
    </row>
    <row r="129" spans="2:13" x14ac:dyDescent="0.25">
      <c r="B129" s="211"/>
      <c r="C129" s="178"/>
      <c r="D129" s="179"/>
      <c r="E129" s="83" t="s">
        <v>2</v>
      </c>
      <c r="F129" s="121">
        <f t="shared" si="47"/>
        <v>1.5</v>
      </c>
      <c r="G129" s="80">
        <f>VLOOKUP(C127,'Tie-Down Provision Workings'!$C$10:$AT$69,5,FALSE)</f>
        <v>103.005</v>
      </c>
      <c r="H129" s="171"/>
      <c r="I129" s="171"/>
      <c r="J129" s="80">
        <f>IF(K129="Shear",VLOOKUP(C127,'Tie-Down Provision Workings'!$C$10:$AT$69,13,FALSE),VLOOKUP(C127,'Tie-Down Provision Workings'!$C$10:$AT$69,12,FALSE))</f>
        <v>10509.12</v>
      </c>
      <c r="K129" s="81" t="str">
        <f>VLOOKUP(C127,'Tie-Down Provision Workings'!$C$10:$AT$69,41,FALSE)</f>
        <v>Shear</v>
      </c>
      <c r="L129" s="80">
        <f>VLOOKUP(C127,'Tie-Down Provision Workings'!$C$10:$AT$69,38,FALSE)</f>
        <v>25.751249999999999</v>
      </c>
      <c r="M129" s="82">
        <f>VLOOKUP(C127,'Tie-Down Provision Workings'!$C$10:$AT$69,44,FALSE)</f>
        <v>408.10135430318923</v>
      </c>
    </row>
    <row r="130" spans="2:13" x14ac:dyDescent="0.25">
      <c r="B130" s="180">
        <v>37</v>
      </c>
      <c r="C130" s="183" t="str">
        <f>VLOOKUP(B130,'Tie-Down Provision Workings'!$B$10:$AT$69,2,FALSE)</f>
        <v>LTE Cable Drum fastened to the floor at EM Mast Compartment</v>
      </c>
      <c r="D130" s="184">
        <f>VLOOKUP(C130,'Tie-Down Provision Workings'!$C$10:$AT$69,2,FALSE)</f>
        <v>60</v>
      </c>
      <c r="E130" s="115" t="s">
        <v>73</v>
      </c>
      <c r="F130" s="116">
        <f t="shared" ref="F130" si="48">$D$4</f>
        <v>4</v>
      </c>
      <c r="G130" s="86">
        <f>VLOOKUP(C130,'Tie-Down Provision Workings'!$C$10:$AT$69,3,FALSE)</f>
        <v>2354.4</v>
      </c>
      <c r="H130" s="163" t="str">
        <f>VLOOKUP(C130,'Tie-Down Provision Workings'!$C$10:$AT$69,8,FALSE)</f>
        <v>M8</v>
      </c>
      <c r="I130" s="163">
        <f>'Tie-Down Provision Workings'!S46</f>
        <v>4</v>
      </c>
      <c r="J130" s="86">
        <f>IF(K130="Shear",VLOOKUP(C130,'Tie-Down Provision Workings'!$C$10:$AT$69,13,FALSE),VLOOKUP(C130,'Tie-Down Provision Workings'!$C$10:$AT$69,12,FALSE))</f>
        <v>10509.12</v>
      </c>
      <c r="K130" s="87" t="str">
        <f>VLOOKUP(C130,'Tie-Down Provision Workings'!$C$10:$AT$69,39,FALSE)</f>
        <v>Shear</v>
      </c>
      <c r="L130" s="86">
        <f>VLOOKUP(C130,'Tie-Down Provision Workings'!$C$10:$AT$69,36,FALSE)</f>
        <v>588.6</v>
      </c>
      <c r="M130" s="88">
        <f>VLOOKUP(C130,'Tie-Down Provision Workings'!$C$10:$AT$69,42,FALSE)</f>
        <v>17.854434250764527</v>
      </c>
    </row>
    <row r="131" spans="2:13" x14ac:dyDescent="0.25">
      <c r="B131" s="181"/>
      <c r="C131" s="183"/>
      <c r="D131" s="184"/>
      <c r="E131" s="115" t="s">
        <v>74</v>
      </c>
      <c r="F131" s="116">
        <f t="shared" ref="F131" si="49">$D$5</f>
        <v>2</v>
      </c>
      <c r="G131" s="86">
        <f>VLOOKUP(C130,'Tie-Down Provision Workings'!$C$10:$AT$69,4,FALSE)</f>
        <v>1177.2</v>
      </c>
      <c r="H131" s="164"/>
      <c r="I131" s="164"/>
      <c r="J131" s="86">
        <f>IF(K131="Shear",VLOOKUP(C130,'Tie-Down Provision Workings'!$C$10:$AT$69,13,FALSE),VLOOKUP(C130,'Tie-Down Provision Workings'!$C$10:$AT$69,12,FALSE))</f>
        <v>21018.240000000002</v>
      </c>
      <c r="K131" s="87" t="str">
        <f>VLOOKUP(C130,'Tie-Down Provision Workings'!$C$10:$AT$69,40,FALSE)</f>
        <v>Tensile</v>
      </c>
      <c r="L131" s="86">
        <f>VLOOKUP(C130,'Tie-Down Provision Workings'!$C$10:$AT$69,37,FALSE)</f>
        <v>294.3</v>
      </c>
      <c r="M131" s="88">
        <f>VLOOKUP(C130,'Tie-Down Provision Workings'!$C$10:$AT$69,43,FALSE)</f>
        <v>71.417737003058107</v>
      </c>
    </row>
    <row r="132" spans="2:13" x14ac:dyDescent="0.25">
      <c r="B132" s="182"/>
      <c r="C132" s="183"/>
      <c r="D132" s="184"/>
      <c r="E132" s="115" t="s">
        <v>2</v>
      </c>
      <c r="F132" s="116">
        <f t="shared" ref="F132" si="50">$D$6</f>
        <v>1.5</v>
      </c>
      <c r="G132" s="86">
        <f>VLOOKUP(C130,'Tie-Down Provision Workings'!$C$10:$AT$69,5,FALSE)</f>
        <v>882.90000000000009</v>
      </c>
      <c r="H132" s="165"/>
      <c r="I132" s="165"/>
      <c r="J132" s="86">
        <f>IF(K132="Shear",VLOOKUP(C130,'Tie-Down Provision Workings'!$C$10:$AT$69,13,FALSE),VLOOKUP(C130,'Tie-Down Provision Workings'!$C$10:$AT$69,12,FALSE))</f>
        <v>10509.12</v>
      </c>
      <c r="K132" s="87" t="str">
        <f>VLOOKUP(C130,'Tie-Down Provision Workings'!$C$10:$AT$69,41,FALSE)</f>
        <v>Shear</v>
      </c>
      <c r="L132" s="86">
        <f>VLOOKUP(C130,'Tie-Down Provision Workings'!$C$10:$AT$69,38,FALSE)</f>
        <v>220.72500000000002</v>
      </c>
      <c r="M132" s="88">
        <f>VLOOKUP(C130,'Tie-Down Provision Workings'!$C$10:$AT$69,44,FALSE)</f>
        <v>47.611824668705403</v>
      </c>
    </row>
    <row r="133" spans="2:13" x14ac:dyDescent="0.25">
      <c r="B133" s="185">
        <v>38</v>
      </c>
      <c r="C133" s="178" t="str">
        <f>VLOOKUP(B133,'Tie-Down Provision Workings'!$B$10:$AT$69,2,FALSE)</f>
        <v>GPS fastened to the front wall at EM Mast Compartment</v>
      </c>
      <c r="D133" s="179">
        <f>VLOOKUP(C133,'Tie-Down Provision Workings'!$C$10:$AT$69,2,FALSE)</f>
        <v>2</v>
      </c>
      <c r="E133" s="23" t="s">
        <v>73</v>
      </c>
      <c r="F133" s="77">
        <f t="shared" si="45"/>
        <v>4</v>
      </c>
      <c r="G133" s="80">
        <f>VLOOKUP(C133,'Tie-Down Provision Workings'!$C$10:$AT$69,3,FALSE)</f>
        <v>78.48</v>
      </c>
      <c r="H133" s="169" t="str">
        <f>VLOOKUP(C133,'Tie-Down Provision Workings'!$C$10:$AT$69,8,FALSE)</f>
        <v>M6</v>
      </c>
      <c r="I133" s="169">
        <f>'Tie-Down Provision Workings'!S47</f>
        <v>2</v>
      </c>
      <c r="J133" s="80">
        <f>IF(K133="Shear",VLOOKUP(C133,'Tie-Down Provision Workings'!$C$10:$AT$69,13,FALSE),VLOOKUP(C133,'Tie-Down Provision Workings'!$C$10:$AT$69,12,FALSE))</f>
        <v>11452.16</v>
      </c>
      <c r="K133" s="81" t="str">
        <f>VLOOKUP(C133,'Tie-Down Provision Workings'!$C$10:$AT$69,39,FALSE)</f>
        <v>Tensile</v>
      </c>
      <c r="L133" s="80">
        <f>VLOOKUP(C133,'Tie-Down Provision Workings'!$C$10:$AT$69,36,FALSE)</f>
        <v>39.24</v>
      </c>
      <c r="M133" s="82">
        <f>VLOOKUP(C133,'Tie-Down Provision Workings'!$C$10:$AT$69,42,FALSE)</f>
        <v>291.84913353720691</v>
      </c>
    </row>
    <row r="134" spans="2:13" x14ac:dyDescent="0.25">
      <c r="B134" s="186"/>
      <c r="C134" s="178"/>
      <c r="D134" s="179"/>
      <c r="E134" s="23" t="s">
        <v>74</v>
      </c>
      <c r="F134" s="77">
        <f t="shared" si="46"/>
        <v>2</v>
      </c>
      <c r="G134" s="80">
        <f>VLOOKUP(C133,'Tie-Down Provision Workings'!$C$10:$AT$69,4,FALSE)</f>
        <v>39.24</v>
      </c>
      <c r="H134" s="170"/>
      <c r="I134" s="170"/>
      <c r="J134" s="80">
        <f>IF(K134="Shear",VLOOKUP(C133,'Tie-Down Provision Workings'!$C$10:$AT$69,13,FALSE),VLOOKUP(C133,'Tie-Down Provision Workings'!$C$10:$AT$69,12,FALSE))</f>
        <v>5726.08</v>
      </c>
      <c r="K134" s="81" t="str">
        <f>VLOOKUP(C133,'Tie-Down Provision Workings'!$C$10:$AT$69,40,FALSE)</f>
        <v>Shear</v>
      </c>
      <c r="L134" s="80">
        <f>VLOOKUP(C133,'Tie-Down Provision Workings'!$C$10:$AT$69,37,FALSE)</f>
        <v>19.62</v>
      </c>
      <c r="M134" s="82">
        <f>VLOOKUP(C133,'Tie-Down Provision Workings'!$C$10:$AT$69,43,FALSE)</f>
        <v>291.84913353720691</v>
      </c>
    </row>
    <row r="135" spans="2:13" x14ac:dyDescent="0.25">
      <c r="B135" s="187"/>
      <c r="C135" s="178"/>
      <c r="D135" s="179"/>
      <c r="E135" s="23" t="s">
        <v>2</v>
      </c>
      <c r="F135" s="77">
        <f t="shared" si="47"/>
        <v>1.5</v>
      </c>
      <c r="G135" s="80">
        <f>VLOOKUP(C133,'Tie-Down Provision Workings'!$C$10:$AT$69,5,FALSE)</f>
        <v>29.43</v>
      </c>
      <c r="H135" s="171"/>
      <c r="I135" s="171"/>
      <c r="J135" s="80">
        <f>IF(K135="Shear",VLOOKUP(C133,'Tie-Down Provision Workings'!$C$10:$AT$69,13,FALSE),VLOOKUP(C133,'Tie-Down Provision Workings'!$C$10:$AT$69,12,FALSE))</f>
        <v>5726.08</v>
      </c>
      <c r="K135" s="81" t="str">
        <f>VLOOKUP(C133,'Tie-Down Provision Workings'!$C$10:$AT$69,41,FALSE)</f>
        <v>Shear</v>
      </c>
      <c r="L135" s="80">
        <f>VLOOKUP(C133,'Tie-Down Provision Workings'!$C$10:$AT$69,38,FALSE)</f>
        <v>14.715</v>
      </c>
      <c r="M135" s="82">
        <f>VLOOKUP(C133,'Tie-Down Provision Workings'!$C$10:$AT$69,44,FALSE)</f>
        <v>389.13217804960925</v>
      </c>
    </row>
    <row r="136" spans="2:13" x14ac:dyDescent="0.25">
      <c r="B136" s="180">
        <v>39</v>
      </c>
      <c r="C136" s="231" t="str">
        <f>VLOOKUP(B136,'Tie-Down Provision Workings'!$B$10:$AT$69,2,FALSE)</f>
        <v>4 Gang Racks with Mounting Plate and Shock Mount fastened to the floor at Equipment Room</v>
      </c>
      <c r="D136" s="184">
        <f>VLOOKUP(C136,'Tie-Down Provision Workings'!$C$10:$AT$69,2,FALSE)</f>
        <v>850</v>
      </c>
      <c r="E136" s="20" t="s">
        <v>73</v>
      </c>
      <c r="F136" s="120">
        <f t="shared" si="45"/>
        <v>4</v>
      </c>
      <c r="G136" s="86">
        <f>VLOOKUP(C136,'Tie-Down Provision Workings'!$C$10:$AT$69,3,FALSE)</f>
        <v>33354</v>
      </c>
      <c r="H136" s="239" t="str">
        <f>VLOOKUP(C136,'Tie-Down Provision Workings'!$C$10:$AT$69,8,FALSE)</f>
        <v>M6</v>
      </c>
      <c r="I136" s="166">
        <f>'Tie-Down Provision Workings'!S48</f>
        <v>24</v>
      </c>
      <c r="J136" s="86">
        <f>IF(K136="Shear",VLOOKUP(C136,'Tie-Down Provision Workings'!$C$10:$AT$69,13,FALSE),VLOOKUP(C136,'Tie-Down Provision Workings'!$C$10:$AT$69,12,FALSE))</f>
        <v>5726.08</v>
      </c>
      <c r="K136" s="87" t="str">
        <f>VLOOKUP(C136,'Tie-Down Provision Workings'!$C$10:$AT$69,39,FALSE)</f>
        <v>Shear</v>
      </c>
      <c r="L136" s="86">
        <f>VLOOKUP(C136,'Tie-Down Provision Workings'!$C$10:$AT$69,36,FALSE)</f>
        <v>1389.75</v>
      </c>
      <c r="M136" s="88">
        <f>VLOOKUP(C136,'Tie-Down Provision Workings'!$C$10:$AT$69,42,FALSE)</f>
        <v>4.1202230617017452</v>
      </c>
    </row>
    <row r="137" spans="2:13" x14ac:dyDescent="0.25">
      <c r="B137" s="181"/>
      <c r="C137" s="231"/>
      <c r="D137" s="184"/>
      <c r="E137" s="20" t="s">
        <v>74</v>
      </c>
      <c r="F137" s="120">
        <f t="shared" si="46"/>
        <v>2</v>
      </c>
      <c r="G137" s="86">
        <f>VLOOKUP(C136,'Tie-Down Provision Workings'!$C$10:$AT$69,4,FALSE)</f>
        <v>16677</v>
      </c>
      <c r="H137" s="239"/>
      <c r="I137" s="167"/>
      <c r="J137" s="86">
        <f>IF(K137="Shear",VLOOKUP(C136,'Tie-Down Provision Workings'!$C$10:$AT$69,13,FALSE),VLOOKUP(C136,'Tie-Down Provision Workings'!$C$10:$AT$69,12,FALSE))</f>
        <v>11452.16</v>
      </c>
      <c r="K137" s="87" t="str">
        <f>VLOOKUP(C136,'Tie-Down Provision Workings'!$C$10:$AT$69,40,FALSE)</f>
        <v>Tensile</v>
      </c>
      <c r="L137" s="86">
        <f>VLOOKUP(C136,'Tie-Down Provision Workings'!$C$10:$AT$69,37,FALSE)</f>
        <v>694.875</v>
      </c>
      <c r="M137" s="88">
        <f>VLOOKUP(C136,'Tie-Down Provision Workings'!$C$10:$AT$69,43,FALSE)</f>
        <v>16.480892246806981</v>
      </c>
    </row>
    <row r="138" spans="2:13" x14ac:dyDescent="0.25">
      <c r="B138" s="182"/>
      <c r="C138" s="231"/>
      <c r="D138" s="184"/>
      <c r="E138" s="20" t="s">
        <v>2</v>
      </c>
      <c r="F138" s="120">
        <f t="shared" ref="F138:F153" si="51">$D$6</f>
        <v>1.5</v>
      </c>
      <c r="G138" s="86">
        <f>VLOOKUP(C136,'Tie-Down Provision Workings'!$C$10:$AT$69,5,FALSE)</f>
        <v>12507.75</v>
      </c>
      <c r="H138" s="239"/>
      <c r="I138" s="168"/>
      <c r="J138" s="86">
        <f>IF(K138="Shear",VLOOKUP(C136,'Tie-Down Provision Workings'!$C$10:$AT$69,13,FALSE),VLOOKUP(C136,'Tie-Down Provision Workings'!$C$10:$AT$69,12,FALSE))</f>
        <v>5726.08</v>
      </c>
      <c r="K138" s="87" t="str">
        <f>VLOOKUP(C136,'Tie-Down Provision Workings'!$C$10:$AT$69,41,FALSE)</f>
        <v>Shear</v>
      </c>
      <c r="L138" s="86">
        <f>VLOOKUP(C136,'Tie-Down Provision Workings'!$C$10:$AT$69,38,FALSE)</f>
        <v>521.15625</v>
      </c>
      <c r="M138" s="88">
        <f>VLOOKUP(C136,'Tie-Down Provision Workings'!$C$10:$AT$69,44,FALSE)</f>
        <v>10.987261497871319</v>
      </c>
    </row>
    <row r="139" spans="2:13" ht="15.75" thickBot="1" x14ac:dyDescent="0.3">
      <c r="B139" s="14"/>
      <c r="C139" s="14"/>
      <c r="D139" s="31"/>
      <c r="E139" s="32"/>
      <c r="F139" s="14"/>
      <c r="G139" s="33"/>
      <c r="H139" s="14"/>
      <c r="I139" s="14"/>
      <c r="J139" s="14"/>
      <c r="K139" s="33"/>
      <c r="L139" s="33"/>
      <c r="M139" s="33"/>
    </row>
    <row r="140" spans="2:13" ht="15" customHeight="1" thickTop="1" thickBot="1" x14ac:dyDescent="0.3">
      <c r="B140" s="15"/>
      <c r="C140" s="15"/>
      <c r="D140" s="15"/>
      <c r="E140" s="212" t="s">
        <v>69</v>
      </c>
      <c r="F140" s="213"/>
      <c r="G140" s="213"/>
      <c r="H140" s="241" t="s">
        <v>67</v>
      </c>
      <c r="I140" s="242"/>
      <c r="J140" s="215"/>
      <c r="K140" s="215"/>
      <c r="L140" s="215"/>
      <c r="M140" s="216"/>
    </row>
    <row r="141" spans="2:13" ht="45.75" thickTop="1" x14ac:dyDescent="0.25">
      <c r="B141" s="117" t="s">
        <v>0</v>
      </c>
      <c r="C141" s="118" t="s">
        <v>1</v>
      </c>
      <c r="D141" s="118" t="s">
        <v>95</v>
      </c>
      <c r="E141" s="16" t="s">
        <v>75</v>
      </c>
      <c r="F141" s="16" t="s">
        <v>76</v>
      </c>
      <c r="G141" s="139" t="s">
        <v>78</v>
      </c>
      <c r="H141" s="145" t="s">
        <v>68</v>
      </c>
      <c r="I141" s="146" t="s">
        <v>70</v>
      </c>
      <c r="J141" s="142" t="s">
        <v>66</v>
      </c>
      <c r="K141" s="16" t="s">
        <v>77</v>
      </c>
      <c r="L141" s="16" t="s">
        <v>71</v>
      </c>
      <c r="M141" s="17" t="s">
        <v>72</v>
      </c>
    </row>
    <row r="142" spans="2:13" x14ac:dyDescent="0.25">
      <c r="B142" s="185">
        <v>40</v>
      </c>
      <c r="C142" s="178" t="str">
        <f>VLOOKUP(B142,'Tie-Down Provision Workings'!$B$10:$AT$69,2,FALSE)</f>
        <v>Power Entry Panel fastened to utility rack at the kerbside</v>
      </c>
      <c r="D142" s="179">
        <f>VLOOKUP(C142,'Tie-Down Provision Workings'!$C$10:$AT$69,2,FALSE)</f>
        <v>15</v>
      </c>
      <c r="E142" s="23" t="s">
        <v>73</v>
      </c>
      <c r="F142" s="119">
        <f t="shared" si="45"/>
        <v>4</v>
      </c>
      <c r="G142" s="140">
        <f>VLOOKUP(C142,'Tie-Down Provision Workings'!$C$10:$AT$69,3,FALSE)</f>
        <v>588.6</v>
      </c>
      <c r="H142" s="240" t="str">
        <f>VLOOKUP(C142,'Tie-Down Provision Workings'!$C$10:$AT$69,8,FALSE)</f>
        <v>M6</v>
      </c>
      <c r="I142" s="160">
        <f>'Tie-Down Provision Workings'!S49</f>
        <v>16</v>
      </c>
      <c r="J142" s="143">
        <f>IF(K142="Shear",VLOOKUP(C142,'Tie-Down Provision Workings'!$C$10:$AT$69,13,FALSE),VLOOKUP(C142,'Tie-Down Provision Workings'!$C$10:$AT$69,12,FALSE))</f>
        <v>5726.08</v>
      </c>
      <c r="K142" s="81" t="str">
        <f>VLOOKUP(C142,'Tie-Down Provision Workings'!$C$10:$AT$69,39,FALSE)</f>
        <v>Shear</v>
      </c>
      <c r="L142" s="80">
        <f>VLOOKUP(C142,'Tie-Down Provision Workings'!$C$10:$AT$69,36,FALSE)</f>
        <v>36.787500000000001</v>
      </c>
      <c r="M142" s="82">
        <f>VLOOKUP(C142,'Tie-Down Provision Workings'!$C$10:$AT$69,42,FALSE)</f>
        <v>155.65287121984369</v>
      </c>
    </row>
    <row r="143" spans="2:13" x14ac:dyDescent="0.25">
      <c r="B143" s="186"/>
      <c r="C143" s="178"/>
      <c r="D143" s="179"/>
      <c r="E143" s="23" t="s">
        <v>74</v>
      </c>
      <c r="F143" s="119">
        <f t="shared" si="46"/>
        <v>2</v>
      </c>
      <c r="G143" s="140">
        <f>VLOOKUP(C142,'Tie-Down Provision Workings'!$C$10:$AT$69,4,FALSE)</f>
        <v>294.3</v>
      </c>
      <c r="H143" s="240"/>
      <c r="I143" s="161"/>
      <c r="J143" s="143">
        <f>IF(K143="Shear",VLOOKUP(C142,'Tie-Down Provision Workings'!$C$10:$AT$69,13,FALSE),VLOOKUP(C142,'Tie-Down Provision Workings'!$C$10:$AT$69,12,FALSE))</f>
        <v>5726.08</v>
      </c>
      <c r="K143" s="81" t="str">
        <f>VLOOKUP(C142,'Tie-Down Provision Workings'!$C$10:$AT$69,40,FALSE)</f>
        <v>Shear</v>
      </c>
      <c r="L143" s="80">
        <f>VLOOKUP(C142,'Tie-Down Provision Workings'!$C$10:$AT$69,37,FALSE)</f>
        <v>18.393750000000001</v>
      </c>
      <c r="M143" s="82">
        <f>VLOOKUP(C142,'Tie-Down Provision Workings'!$C$10:$AT$69,43,FALSE)</f>
        <v>311.30574243968738</v>
      </c>
    </row>
    <row r="144" spans="2:13" x14ac:dyDescent="0.25">
      <c r="B144" s="187"/>
      <c r="C144" s="178"/>
      <c r="D144" s="179"/>
      <c r="E144" s="23" t="s">
        <v>2</v>
      </c>
      <c r="F144" s="119">
        <f t="shared" si="51"/>
        <v>1.5</v>
      </c>
      <c r="G144" s="140">
        <f>VLOOKUP(C142,'Tie-Down Provision Workings'!$C$10:$AT$69,5,FALSE)</f>
        <v>220.72500000000002</v>
      </c>
      <c r="H144" s="240"/>
      <c r="I144" s="162"/>
      <c r="J144" s="143">
        <f>IF(K144="Shear",VLOOKUP(C142,'Tie-Down Provision Workings'!$C$10:$AT$69,13,FALSE),VLOOKUP(C142,'Tie-Down Provision Workings'!$C$10:$AT$69,12,FALSE))</f>
        <v>11452.16</v>
      </c>
      <c r="K144" s="81" t="str">
        <f>VLOOKUP(C142,'Tie-Down Provision Workings'!$C$10:$AT$69,41,FALSE)</f>
        <v>Tensile</v>
      </c>
      <c r="L144" s="80">
        <f>VLOOKUP(C142,'Tie-Down Provision Workings'!$C$10:$AT$69,38,FALSE)</f>
        <v>13.795312500000001</v>
      </c>
      <c r="M144" s="82">
        <f>VLOOKUP(C142,'Tie-Down Provision Workings'!$C$10:$AT$69,44,FALSE)</f>
        <v>830.14864650583297</v>
      </c>
    </row>
    <row r="145" spans="2:13" x14ac:dyDescent="0.25">
      <c r="B145" s="180">
        <v>41</v>
      </c>
      <c r="C145" s="183" t="str">
        <f>VLOOKUP(B145,'Tie-Down Provision Workings'!$B$10:$AT$69,2,FALSE)</f>
        <v>Signal Entry Panel fastened to the left wall</v>
      </c>
      <c r="D145" s="184">
        <f>VLOOKUP(C145,'Tie-Down Provision Workings'!$C$10:$AT$69,2,FALSE)</f>
        <v>5</v>
      </c>
      <c r="E145" s="20" t="s">
        <v>73</v>
      </c>
      <c r="F145" s="120">
        <f t="shared" si="45"/>
        <v>4</v>
      </c>
      <c r="G145" s="141">
        <f>VLOOKUP(C145,'Tie-Down Provision Workings'!$C$10:$AT$69,3,FALSE)</f>
        <v>196.20000000000002</v>
      </c>
      <c r="H145" s="239" t="str">
        <f>VLOOKUP(C145,'Tie-Down Provision Workings'!$C$10:$AT$69,8,FALSE)</f>
        <v>M6</v>
      </c>
      <c r="I145" s="166">
        <f>'Tie-Down Provision Workings'!S50</f>
        <v>16</v>
      </c>
      <c r="J145" s="144">
        <f>IF(K145="Shear",VLOOKUP(C145,'Tie-Down Provision Workings'!$C$10:$AT$69,13,FALSE),VLOOKUP(C145,'Tie-Down Provision Workings'!$C$10:$AT$69,12,FALSE))</f>
        <v>5726.08</v>
      </c>
      <c r="K145" s="87" t="str">
        <f>VLOOKUP(C145,'Tie-Down Provision Workings'!$C$10:$AT$69,39,FALSE)</f>
        <v>Shear</v>
      </c>
      <c r="L145" s="86">
        <f>VLOOKUP(C145,'Tie-Down Provision Workings'!$C$10:$AT$69,36,FALSE)</f>
        <v>12.262500000000001</v>
      </c>
      <c r="M145" s="88">
        <f>VLOOKUP(C145,'Tie-Down Provision Workings'!$C$10:$AT$69,42,FALSE)</f>
        <v>466.95861365953107</v>
      </c>
    </row>
    <row r="146" spans="2:13" x14ac:dyDescent="0.25">
      <c r="B146" s="181"/>
      <c r="C146" s="183"/>
      <c r="D146" s="184"/>
      <c r="E146" s="20" t="s">
        <v>74</v>
      </c>
      <c r="F146" s="120">
        <f t="shared" si="46"/>
        <v>2</v>
      </c>
      <c r="G146" s="141">
        <f>VLOOKUP(C145,'Tie-Down Provision Workings'!$C$10:$AT$69,4,FALSE)</f>
        <v>98.100000000000009</v>
      </c>
      <c r="H146" s="239"/>
      <c r="I146" s="167"/>
      <c r="J146" s="144">
        <f>IF(K146="Shear",VLOOKUP(C145,'Tie-Down Provision Workings'!$C$10:$AT$69,13,FALSE),VLOOKUP(C145,'Tie-Down Provision Workings'!$C$10:$AT$69,12,FALSE))</f>
        <v>5726.08</v>
      </c>
      <c r="K146" s="87" t="str">
        <f>VLOOKUP(C145,'Tie-Down Provision Workings'!$C$10:$AT$69,40,FALSE)</f>
        <v>Shear</v>
      </c>
      <c r="L146" s="86">
        <f>VLOOKUP(C145,'Tie-Down Provision Workings'!$C$10:$AT$69,37,FALSE)</f>
        <v>6.1312500000000005</v>
      </c>
      <c r="M146" s="88">
        <f>VLOOKUP(C145,'Tie-Down Provision Workings'!$C$10:$AT$69,43,FALSE)</f>
        <v>933.91722731906214</v>
      </c>
    </row>
    <row r="147" spans="2:13" x14ac:dyDescent="0.25">
      <c r="B147" s="182"/>
      <c r="C147" s="183"/>
      <c r="D147" s="184"/>
      <c r="E147" s="20" t="s">
        <v>2</v>
      </c>
      <c r="F147" s="120">
        <f t="shared" si="51"/>
        <v>1.5</v>
      </c>
      <c r="G147" s="141">
        <f>VLOOKUP(C145,'Tie-Down Provision Workings'!$C$10:$AT$69,5,FALSE)</f>
        <v>73.575000000000003</v>
      </c>
      <c r="H147" s="239"/>
      <c r="I147" s="168"/>
      <c r="J147" s="144">
        <f>IF(K147="Shear",VLOOKUP(C145,'Tie-Down Provision Workings'!$C$10:$AT$69,13,FALSE),VLOOKUP(C145,'Tie-Down Provision Workings'!$C$10:$AT$69,12,FALSE))</f>
        <v>11452.16</v>
      </c>
      <c r="K147" s="87" t="str">
        <f>VLOOKUP(C145,'Tie-Down Provision Workings'!$C$10:$AT$69,41,FALSE)</f>
        <v>Tensile</v>
      </c>
      <c r="L147" s="86">
        <f>VLOOKUP(C145,'Tie-Down Provision Workings'!$C$10:$AT$69,38,FALSE)</f>
        <v>4.5984375000000002</v>
      </c>
      <c r="M147" s="88">
        <f>VLOOKUP(C145,'Tie-Down Provision Workings'!$C$10:$AT$69,44,FALSE)</f>
        <v>2490.445939517499</v>
      </c>
    </row>
    <row r="148" spans="2:13" x14ac:dyDescent="0.25">
      <c r="B148" s="185">
        <v>42</v>
      </c>
      <c r="C148" s="178" t="str">
        <f>VLOOKUP(B148,'Tie-Down Provision Workings'!$B$10:$AT$69,2,FALSE)</f>
        <v>Antenna Entry Panel fastened to the front wall</v>
      </c>
      <c r="D148" s="179">
        <f>VLOOKUP(C148,'Tie-Down Provision Workings'!$C$10:$AT$69,2,FALSE)</f>
        <v>5</v>
      </c>
      <c r="E148" s="23" t="s">
        <v>73</v>
      </c>
      <c r="F148" s="119">
        <f t="shared" si="45"/>
        <v>4</v>
      </c>
      <c r="G148" s="140">
        <f>VLOOKUP(C148,'Tie-Down Provision Workings'!$C$10:$AT$69,3,FALSE)</f>
        <v>196.20000000000002</v>
      </c>
      <c r="H148" s="240" t="str">
        <f>VLOOKUP(C148,'Tie-Down Provision Workings'!$C$10:$AT$69,8,FALSE)</f>
        <v>M6</v>
      </c>
      <c r="I148" s="160">
        <f>'Tie-Down Provision Workings'!S51</f>
        <v>8</v>
      </c>
      <c r="J148" s="143">
        <f>IF(K148="Shear",VLOOKUP(C148,'Tie-Down Provision Workings'!$C$10:$AT$69,13,FALSE),VLOOKUP(C148,'Tie-Down Provision Workings'!$C$10:$AT$69,12,FALSE))</f>
        <v>11452.16</v>
      </c>
      <c r="K148" s="81" t="str">
        <f>VLOOKUP(C148,'Tie-Down Provision Workings'!$C$10:$AT$69,39,FALSE)</f>
        <v>Tensile</v>
      </c>
      <c r="L148" s="80">
        <f>VLOOKUP(C148,'Tie-Down Provision Workings'!$C$10:$AT$69,36,FALSE)</f>
        <v>24.525000000000002</v>
      </c>
      <c r="M148" s="82">
        <f>VLOOKUP(C148,'Tie-Down Provision Workings'!$C$10:$AT$69,42,FALSE)</f>
        <v>466.95861365953107</v>
      </c>
    </row>
    <row r="149" spans="2:13" x14ac:dyDescent="0.25">
      <c r="B149" s="186"/>
      <c r="C149" s="178"/>
      <c r="D149" s="179"/>
      <c r="E149" s="23" t="s">
        <v>74</v>
      </c>
      <c r="F149" s="119">
        <f t="shared" si="46"/>
        <v>2</v>
      </c>
      <c r="G149" s="140">
        <f>VLOOKUP(C148,'Tie-Down Provision Workings'!$C$10:$AT$69,4,FALSE)</f>
        <v>98.100000000000009</v>
      </c>
      <c r="H149" s="240"/>
      <c r="I149" s="161"/>
      <c r="J149" s="143">
        <f>IF(K149="Shear",VLOOKUP(C148,'Tie-Down Provision Workings'!$C$10:$AT$69,13,FALSE),VLOOKUP(C148,'Tie-Down Provision Workings'!$C$10:$AT$69,12,FALSE))</f>
        <v>5726.08</v>
      </c>
      <c r="K149" s="81" t="str">
        <f>VLOOKUP(C148,'Tie-Down Provision Workings'!$C$10:$AT$69,40,FALSE)</f>
        <v>Shear</v>
      </c>
      <c r="L149" s="80">
        <f>VLOOKUP(C148,'Tie-Down Provision Workings'!$C$10:$AT$69,37,FALSE)</f>
        <v>12.262500000000001</v>
      </c>
      <c r="M149" s="82">
        <f>VLOOKUP(C148,'Tie-Down Provision Workings'!$C$10:$AT$69,43,FALSE)</f>
        <v>466.95861365953107</v>
      </c>
    </row>
    <row r="150" spans="2:13" x14ac:dyDescent="0.25">
      <c r="B150" s="187"/>
      <c r="C150" s="178"/>
      <c r="D150" s="179"/>
      <c r="E150" s="23" t="s">
        <v>2</v>
      </c>
      <c r="F150" s="119">
        <f t="shared" si="51"/>
        <v>1.5</v>
      </c>
      <c r="G150" s="140">
        <f>VLOOKUP(C148,'Tie-Down Provision Workings'!$C$10:$AT$69,5,FALSE)</f>
        <v>73.575000000000003</v>
      </c>
      <c r="H150" s="240"/>
      <c r="I150" s="162"/>
      <c r="J150" s="143">
        <f>IF(K150="Shear",VLOOKUP(C148,'Tie-Down Provision Workings'!$C$10:$AT$69,13,FALSE),VLOOKUP(C148,'Tie-Down Provision Workings'!$C$10:$AT$69,12,FALSE))</f>
        <v>5726.08</v>
      </c>
      <c r="K150" s="81" t="str">
        <f>VLOOKUP(C148,'Tie-Down Provision Workings'!$C$10:$AT$69,41,FALSE)</f>
        <v>Shear</v>
      </c>
      <c r="L150" s="80">
        <f>VLOOKUP(C148,'Tie-Down Provision Workings'!$C$10:$AT$69,38,FALSE)</f>
        <v>9.1968750000000004</v>
      </c>
      <c r="M150" s="82">
        <f>VLOOKUP(C148,'Tie-Down Provision Workings'!$C$10:$AT$69,44,FALSE)</f>
        <v>622.61148487937476</v>
      </c>
    </row>
    <row r="151" spans="2:13" x14ac:dyDescent="0.25">
      <c r="B151" s="180">
        <v>43</v>
      </c>
      <c r="C151" s="231" t="str">
        <f>VLOOKUP(B151,'Tie-Down Provision Workings'!$B$10:$AT$69,2,FALSE)</f>
        <v>RF Panel (Left, Right) fastened to rear wall</v>
      </c>
      <c r="D151" s="184">
        <f>VLOOKUP(C151,'Tie-Down Provision Workings'!$C$10:$AT$69,2,FALSE)</f>
        <v>5</v>
      </c>
      <c r="E151" s="20" t="s">
        <v>73</v>
      </c>
      <c r="F151" s="120">
        <f t="shared" si="45"/>
        <v>4</v>
      </c>
      <c r="G151" s="141">
        <f>VLOOKUP(C151,'Tie-Down Provision Workings'!$C$10:$AT$69,3,FALSE)</f>
        <v>196.20000000000002</v>
      </c>
      <c r="H151" s="239" t="str">
        <f>VLOOKUP(C151,'Tie-Down Provision Workings'!$C$10:$AT$69,8,FALSE)</f>
        <v>M6</v>
      </c>
      <c r="I151" s="166">
        <f>'Tie-Down Provision Workings'!S52</f>
        <v>10</v>
      </c>
      <c r="J151" s="144">
        <f>IF(K151="Shear",VLOOKUP(C151,'Tie-Down Provision Workings'!$C$10:$AT$69,13,FALSE),VLOOKUP(C151,'Tie-Down Provision Workings'!$C$10:$AT$69,12,FALSE))</f>
        <v>11452.16</v>
      </c>
      <c r="K151" s="87" t="str">
        <f>VLOOKUP(C151,'Tie-Down Provision Workings'!$C$10:$AT$69,39,FALSE)</f>
        <v>Tensile</v>
      </c>
      <c r="L151" s="86">
        <f>VLOOKUP(C151,'Tie-Down Provision Workings'!$C$10:$AT$69,36,FALSE)</f>
        <v>19.62</v>
      </c>
      <c r="M151" s="88">
        <f>VLOOKUP(C151,'Tie-Down Provision Workings'!$C$10:$AT$69,42,FALSE)</f>
        <v>583.69826707441382</v>
      </c>
    </row>
    <row r="152" spans="2:13" x14ac:dyDescent="0.25">
      <c r="B152" s="181"/>
      <c r="C152" s="231"/>
      <c r="D152" s="184"/>
      <c r="E152" s="20" t="s">
        <v>74</v>
      </c>
      <c r="F152" s="120">
        <f t="shared" si="46"/>
        <v>2</v>
      </c>
      <c r="G152" s="141">
        <f>VLOOKUP(C151,'Tie-Down Provision Workings'!$C$10:$AT$69,4,FALSE)</f>
        <v>98.100000000000009</v>
      </c>
      <c r="H152" s="239"/>
      <c r="I152" s="167"/>
      <c r="J152" s="144">
        <f>IF(K152="Shear",VLOOKUP(C151,'Tie-Down Provision Workings'!$C$10:$AT$69,13,FALSE),VLOOKUP(C151,'Tie-Down Provision Workings'!$C$10:$AT$69,12,FALSE))</f>
        <v>5726.08</v>
      </c>
      <c r="K152" s="87" t="str">
        <f>VLOOKUP(C151,'Tie-Down Provision Workings'!$C$10:$AT$69,40,FALSE)</f>
        <v>Shear</v>
      </c>
      <c r="L152" s="86">
        <f>VLOOKUP(C151,'Tie-Down Provision Workings'!$C$10:$AT$69,37,FALSE)</f>
        <v>9.81</v>
      </c>
      <c r="M152" s="88">
        <f>VLOOKUP(C151,'Tie-Down Provision Workings'!$C$10:$AT$69,43,FALSE)</f>
        <v>583.69826707441382</v>
      </c>
    </row>
    <row r="153" spans="2:13" x14ac:dyDescent="0.25">
      <c r="B153" s="182"/>
      <c r="C153" s="231"/>
      <c r="D153" s="184"/>
      <c r="E153" s="20" t="s">
        <v>2</v>
      </c>
      <c r="F153" s="120">
        <f t="shared" si="51"/>
        <v>1.5</v>
      </c>
      <c r="G153" s="141">
        <f>VLOOKUP(C151,'Tie-Down Provision Workings'!$C$10:$AT$69,5,FALSE)</f>
        <v>73.575000000000003</v>
      </c>
      <c r="H153" s="239"/>
      <c r="I153" s="168"/>
      <c r="J153" s="144">
        <f>IF(K153="Shear",VLOOKUP(C151,'Tie-Down Provision Workings'!$C$10:$AT$69,13,FALSE),VLOOKUP(C151,'Tie-Down Provision Workings'!$C$10:$AT$69,12,FALSE))</f>
        <v>5726.08</v>
      </c>
      <c r="K153" s="87" t="str">
        <f>VLOOKUP(C151,'Tie-Down Provision Workings'!$C$10:$AT$69,41,FALSE)</f>
        <v>Shear</v>
      </c>
      <c r="L153" s="86">
        <f>VLOOKUP(C151,'Tie-Down Provision Workings'!$C$10:$AT$69,38,FALSE)</f>
        <v>7.3574999999999999</v>
      </c>
      <c r="M153" s="88">
        <f>VLOOKUP(C151,'Tie-Down Provision Workings'!$C$10:$AT$69,44,FALSE)</f>
        <v>778.2643560992185</v>
      </c>
    </row>
    <row r="154" spans="2:13" x14ac:dyDescent="0.25">
      <c r="B154" s="209">
        <v>44</v>
      </c>
      <c r="C154" s="238" t="str">
        <f>VLOOKUP(B154,'Tie-Down Provision Workings'!$B$10:$AT$69,2,FALSE)</f>
        <v>Water Jerry Cans (3x) strap to its storage that fastened to the floor in the Operation Area</v>
      </c>
      <c r="D154" s="179">
        <f>VLOOKUP(C154,'Tie-Down Provision Workings'!$C$10:$AT$69,2,FALSE)</f>
        <v>60</v>
      </c>
      <c r="E154" s="23" t="s">
        <v>73</v>
      </c>
      <c r="F154" s="119">
        <f t="shared" ref="F154:F160" si="52">$D$4</f>
        <v>4</v>
      </c>
      <c r="G154" s="140">
        <f>VLOOKUP(C154,'Tie-Down Provision Workings'!$C$10:$AT$69,3,FALSE)</f>
        <v>2354.4</v>
      </c>
      <c r="H154" s="137" t="s">
        <v>38</v>
      </c>
      <c r="I154" s="137">
        <v>4</v>
      </c>
      <c r="J154" s="143">
        <v>10509.12</v>
      </c>
      <c r="K154" s="81" t="str">
        <f>VLOOKUP(C154,'Tie-Down Provision Workings'!$C$10:$AT$69,39,FALSE)</f>
        <v>Shear</v>
      </c>
      <c r="L154" s="80">
        <f>G154/I154</f>
        <v>588.6</v>
      </c>
      <c r="M154" s="82">
        <f>J154/L154</f>
        <v>17.854434250764527</v>
      </c>
    </row>
    <row r="155" spans="2:13" x14ac:dyDescent="0.25">
      <c r="B155" s="210"/>
      <c r="C155" s="238"/>
      <c r="D155" s="179"/>
      <c r="E155" s="23" t="s">
        <v>74</v>
      </c>
      <c r="F155" s="119">
        <f t="shared" ref="F155:F161" si="53">$D$5</f>
        <v>2</v>
      </c>
      <c r="G155" s="140">
        <f>VLOOKUP(C154,'Tie-Down Provision Workings'!$C$10:$AT$69,4,FALSE)</f>
        <v>1177.2</v>
      </c>
      <c r="H155" s="137" t="str">
        <f>VLOOKUP(C154,'[1]Tie-Down Provision Workings'!$C$10:$AT$66,8,FALSE)</f>
        <v>Camlock Strap (1")</v>
      </c>
      <c r="I155" s="137">
        <f>'Tie-Down Provision Workings'!S53</f>
        <v>1</v>
      </c>
      <c r="J155" s="143">
        <f>IF(K155="Shear",VLOOKUP(C154,'Tie-Down Provision Workings'!$C$10:$AT$66,13,FALSE),VLOOKUP(C154,'Tie-Down Provision Workings'!$C$10:$AT$66,12,FALSE))</f>
        <v>2500</v>
      </c>
      <c r="K155" s="81" t="str">
        <f>VLOOKUP(C154,'Tie-Down Provision Workings'!$C$10:$AT$69,40,FALSE)</f>
        <v>Tensile</v>
      </c>
      <c r="L155" s="80">
        <f>VLOOKUP(C154,'Tie-Down Provision Workings'!$C$10:$AT$66,37,FALSE)</f>
        <v>1177.2</v>
      </c>
      <c r="M155" s="82">
        <f>VLOOKUP(C154,'Tie-Down Provision Workings'!$C$10:$AT$66,43,FALSE)</f>
        <v>2.1236833163438669</v>
      </c>
    </row>
    <row r="156" spans="2:13" x14ac:dyDescent="0.25">
      <c r="B156" s="211"/>
      <c r="C156" s="238"/>
      <c r="D156" s="179"/>
      <c r="E156" s="23" t="s">
        <v>2</v>
      </c>
      <c r="F156" s="119">
        <f t="shared" ref="F156:F159" si="54">$D$6</f>
        <v>1.5</v>
      </c>
      <c r="G156" s="140">
        <f>VLOOKUP(C154,'Tie-Down Provision Workings'!$C$10:$AT$69,5,FALSE)</f>
        <v>882.90000000000009</v>
      </c>
      <c r="H156" s="137" t="s">
        <v>38</v>
      </c>
      <c r="I156" s="137">
        <v>4</v>
      </c>
      <c r="J156" s="143">
        <v>10509.12</v>
      </c>
      <c r="K156" s="81" t="str">
        <f>VLOOKUP(C154,'Tie-Down Provision Workings'!$C$10:$AT$69,41,FALSE)</f>
        <v>Shear</v>
      </c>
      <c r="L156" s="80">
        <f>G156/I156</f>
        <v>220.72500000000002</v>
      </c>
      <c r="M156" s="82">
        <f>J156/L156</f>
        <v>47.611824668705403</v>
      </c>
    </row>
    <row r="157" spans="2:13" x14ac:dyDescent="0.25">
      <c r="B157" s="180">
        <v>45</v>
      </c>
      <c r="C157" s="231" t="str">
        <f>VLOOKUP(B157,'Tie-Down Provision Workings'!$B$10:$AT$69,2,FALSE)</f>
        <v>LOS Antenna (1 ) fastened to the left wall</v>
      </c>
      <c r="D157" s="184">
        <f>VLOOKUP(C157,'Tie-Down Provision Workings'!$C$10:$AT$69,2,FALSE)</f>
        <v>15</v>
      </c>
      <c r="E157" s="20" t="s">
        <v>73</v>
      </c>
      <c r="F157" s="120">
        <f t="shared" si="52"/>
        <v>4</v>
      </c>
      <c r="G157" s="141">
        <f>VLOOKUP(C157,'Tie-Down Provision Workings'!$C$10:$AT$69,3,FALSE)</f>
        <v>588.6</v>
      </c>
      <c r="H157" s="239" t="str">
        <f>VLOOKUP(C157,'Tie-Down Provision Workings'!$C$10:$AT$69,8,FALSE)</f>
        <v>M6</v>
      </c>
      <c r="I157" s="166">
        <f>'Tie-Down Provision Workings'!S54</f>
        <v>4</v>
      </c>
      <c r="J157" s="144">
        <f>IF(K157="Shear",VLOOKUP(C157,'Tie-Down Provision Workings'!$C$10:$AT$69,13,FALSE),VLOOKUP(C157,'Tie-Down Provision Workings'!$C$10:$AT$69,12,FALSE))</f>
        <v>5726.08</v>
      </c>
      <c r="K157" s="87" t="str">
        <f>VLOOKUP(C157,'Tie-Down Provision Workings'!$C$10:$AT$69,39,FALSE)</f>
        <v>Shear</v>
      </c>
      <c r="L157" s="86">
        <f>VLOOKUP(C157,'Tie-Down Provision Workings'!$C$10:$AT$69,36,FALSE)</f>
        <v>147.15</v>
      </c>
      <c r="M157" s="88">
        <f>VLOOKUP(C157,'Tie-Down Provision Workings'!$C$10:$AT$69,42,FALSE)</f>
        <v>38.913217804960922</v>
      </c>
    </row>
    <row r="158" spans="2:13" x14ac:dyDescent="0.25">
      <c r="B158" s="181"/>
      <c r="C158" s="231"/>
      <c r="D158" s="184"/>
      <c r="E158" s="20" t="s">
        <v>74</v>
      </c>
      <c r="F158" s="120">
        <f t="shared" si="53"/>
        <v>2</v>
      </c>
      <c r="G158" s="141">
        <f>VLOOKUP(C157,'Tie-Down Provision Workings'!$C$10:$AT$69,4,FALSE)</f>
        <v>294.3</v>
      </c>
      <c r="H158" s="239"/>
      <c r="I158" s="167"/>
      <c r="J158" s="144">
        <f>IF(K158="Shear",VLOOKUP(C157,'Tie-Down Provision Workings'!$C$10:$AT$69,13,FALSE),VLOOKUP(C157,'Tie-Down Provision Workings'!$C$10:$AT$69,12,FALSE))</f>
        <v>5726.08</v>
      </c>
      <c r="K158" s="87" t="str">
        <f>VLOOKUP(C157,'Tie-Down Provision Workings'!$C$10:$AT$69,40,FALSE)</f>
        <v>Shear</v>
      </c>
      <c r="L158" s="86">
        <f>VLOOKUP(C157,'Tie-Down Provision Workings'!$C$10:$AT$69,37,FALSE)</f>
        <v>73.575000000000003</v>
      </c>
      <c r="M158" s="88">
        <f>VLOOKUP(C157,'Tie-Down Provision Workings'!$C$10:$AT$69,43,FALSE)</f>
        <v>77.826435609921845</v>
      </c>
    </row>
    <row r="159" spans="2:13" x14ac:dyDescent="0.25">
      <c r="B159" s="182"/>
      <c r="C159" s="231"/>
      <c r="D159" s="184"/>
      <c r="E159" s="20" t="s">
        <v>2</v>
      </c>
      <c r="F159" s="120">
        <f t="shared" si="54"/>
        <v>1.5</v>
      </c>
      <c r="G159" s="141">
        <f>VLOOKUP(C157,'Tie-Down Provision Workings'!$C$10:$AT$69,5,FALSE)</f>
        <v>220.72500000000002</v>
      </c>
      <c r="H159" s="239"/>
      <c r="I159" s="168"/>
      <c r="J159" s="144">
        <f>IF(K159="Shear",VLOOKUP(C157,'Tie-Down Provision Workings'!$C$10:$AT$69,13,FALSE),VLOOKUP(C157,'Tie-Down Provision Workings'!$C$10:$AT$69,12,FALSE))</f>
        <v>11452.16</v>
      </c>
      <c r="K159" s="87" t="str">
        <f>VLOOKUP(C157,'Tie-Down Provision Workings'!$C$10:$AT$69,41,FALSE)</f>
        <v>Tensile</v>
      </c>
      <c r="L159" s="86">
        <f>VLOOKUP(C157,'Tie-Down Provision Workings'!$C$10:$AT$69,38,FALSE)</f>
        <v>55.181250000000006</v>
      </c>
      <c r="M159" s="88">
        <f>VLOOKUP(C157,'Tie-Down Provision Workings'!$C$10:$AT$69,44,FALSE)</f>
        <v>207.53716162645824</v>
      </c>
    </row>
    <row r="160" spans="2:13" x14ac:dyDescent="0.25">
      <c r="B160" s="185">
        <v>46</v>
      </c>
      <c r="C160" s="238" t="str">
        <f>VLOOKUP(B160,'Tie-Down Provision Workings'!$B$10:$AT$69,2,FALSE)</f>
        <v>LOS Antenna (2) fastened to the 4 Gang Racks in the operation area</v>
      </c>
      <c r="D160" s="179">
        <f>VLOOKUP(C160,'Tie-Down Provision Workings'!$C$10:$AT$69,2,FALSE)</f>
        <v>15</v>
      </c>
      <c r="E160" s="23" t="s">
        <v>73</v>
      </c>
      <c r="F160" s="119">
        <f t="shared" si="52"/>
        <v>4</v>
      </c>
      <c r="G160" s="140">
        <f>VLOOKUP(C160,'Tie-Down Provision Workings'!$C$10:$AT$69,3,FALSE)</f>
        <v>588.6</v>
      </c>
      <c r="H160" s="240" t="str">
        <f>VLOOKUP(C160,'Tie-Down Provision Workings'!$C$10:$AT$69,8,FALSE)</f>
        <v>M6</v>
      </c>
      <c r="I160" s="160">
        <f>'Tie-Down Provision Workings'!S55</f>
        <v>2</v>
      </c>
      <c r="J160" s="143">
        <f>IF(K160="Shear",VLOOKUP(C160,'Tie-Down Provision Workings'!$C$10:$AT$69,13,FALSE),VLOOKUP(C160,'Tie-Down Provision Workings'!$C$10:$AT$69,12,FALSE))</f>
        <v>11452.16</v>
      </c>
      <c r="K160" s="81" t="str">
        <f>VLOOKUP(C160,'Tie-Down Provision Workings'!$C$10:$AT$69,39,FALSE)</f>
        <v>Tensile</v>
      </c>
      <c r="L160" s="80">
        <f>VLOOKUP(C160,'Tie-Down Provision Workings'!$C$10:$AT$69,36,FALSE)</f>
        <v>294.3</v>
      </c>
      <c r="M160" s="82">
        <f>VLOOKUP(C160,'Tie-Down Provision Workings'!$C$10:$AT$69,42,FALSE)</f>
        <v>38.913217804960922</v>
      </c>
    </row>
    <row r="161" spans="2:13" x14ac:dyDescent="0.25">
      <c r="B161" s="186"/>
      <c r="C161" s="238"/>
      <c r="D161" s="179"/>
      <c r="E161" s="23" t="s">
        <v>74</v>
      </c>
      <c r="F161" s="119">
        <f t="shared" si="53"/>
        <v>2</v>
      </c>
      <c r="G161" s="140">
        <f>VLOOKUP(C160,'Tie-Down Provision Workings'!$C$10:$AT$69,4,FALSE)</f>
        <v>294.3</v>
      </c>
      <c r="H161" s="240"/>
      <c r="I161" s="161"/>
      <c r="J161" s="143">
        <f>IF(K161="Shear",VLOOKUP(C160,'Tie-Down Provision Workings'!$C$10:$AT$69,13,FALSE),VLOOKUP(C160,'Tie-Down Provision Workings'!$C$10:$AT$69,12,FALSE))</f>
        <v>5726.08</v>
      </c>
      <c r="K161" s="81" t="str">
        <f>VLOOKUP(C160,'Tie-Down Provision Workings'!$C$10:$AT$69,40,FALSE)</f>
        <v>Shear</v>
      </c>
      <c r="L161" s="80">
        <f>VLOOKUP(C160,'Tie-Down Provision Workings'!$C$10:$AT$69,37,FALSE)</f>
        <v>147.15</v>
      </c>
      <c r="M161" s="82">
        <f>VLOOKUP(C160,'Tie-Down Provision Workings'!$C$10:$AT$69,43,FALSE)</f>
        <v>38.913217804960922</v>
      </c>
    </row>
    <row r="162" spans="2:13" x14ac:dyDescent="0.25">
      <c r="B162" s="187"/>
      <c r="C162" s="238"/>
      <c r="D162" s="179"/>
      <c r="E162" s="23" t="s">
        <v>2</v>
      </c>
      <c r="F162" s="119">
        <f t="shared" ref="F162" si="55">$D$6</f>
        <v>1.5</v>
      </c>
      <c r="G162" s="140">
        <f>VLOOKUP(C160,'Tie-Down Provision Workings'!$C$10:$AT$69,5,FALSE)</f>
        <v>220.72500000000002</v>
      </c>
      <c r="H162" s="240"/>
      <c r="I162" s="162"/>
      <c r="J162" s="143">
        <f>IF(K162="Shear",VLOOKUP(C160,'Tie-Down Provision Workings'!$C$10:$AT$69,13,FALSE),VLOOKUP(C160,'Tie-Down Provision Workings'!$C$10:$AT$69,12,FALSE))</f>
        <v>5726.08</v>
      </c>
      <c r="K162" s="81" t="str">
        <f>VLOOKUP(C160,'Tie-Down Provision Workings'!$C$10:$AT$69,41,FALSE)</f>
        <v>Shear</v>
      </c>
      <c r="L162" s="80">
        <f>VLOOKUP(C160,'Tie-Down Provision Workings'!$C$10:$AT$69,38,FALSE)</f>
        <v>110.36250000000001</v>
      </c>
      <c r="M162" s="82">
        <f>VLOOKUP(C160,'Tie-Down Provision Workings'!$C$10:$AT$69,44,FALSE)</f>
        <v>51.884290406614561</v>
      </c>
    </row>
    <row r="163" spans="2:13" x14ac:dyDescent="0.25">
      <c r="B163" s="180">
        <v>47</v>
      </c>
      <c r="C163" s="231" t="str">
        <f>VLOOKUP(B163,'Tie-Down Provision Workings'!$B$10:$AT$69,2,FALSE)</f>
        <v>RF Drum (1, 2) strap to floor at the Operation Area</v>
      </c>
      <c r="D163" s="184">
        <f>VLOOKUP(C163,'Tie-Down Provision Workings'!$C$10:$AT$69,2,FALSE)</f>
        <v>14</v>
      </c>
      <c r="E163" s="20" t="s">
        <v>73</v>
      </c>
      <c r="F163" s="114">
        <f t="shared" ref="F163" si="56">$D$4</f>
        <v>4</v>
      </c>
      <c r="G163" s="141">
        <f>VLOOKUP(C163,'Tie-Down Provision Workings'!$C$10:$AT$69,3,FALSE)</f>
        <v>549.36</v>
      </c>
      <c r="H163" s="239" t="str">
        <f>VLOOKUP(C163,'Tie-Down Provision Workings'!$C$10:$AT$69,8,FALSE)</f>
        <v>Ratchet (1")</v>
      </c>
      <c r="I163" s="166">
        <f>'Tie-Down Provision Workings'!S56</f>
        <v>1</v>
      </c>
      <c r="J163" s="144">
        <f>IF(K163="Shear",VLOOKUP(C163,'Tie-Down Provision Workings'!$C$10:$AT$69,13,FALSE),VLOOKUP(C163,'Tie-Down Provision Workings'!$C$10:$AT$69,12,FALSE))</f>
        <v>5000</v>
      </c>
      <c r="K163" s="87" t="str">
        <f>VLOOKUP(C163,'Tie-Down Provision Workings'!$C$10:$AT$69,39,FALSE)</f>
        <v>Shear</v>
      </c>
      <c r="L163" s="86">
        <f>VLOOKUP(C163,'Tie-Down Provision Workings'!$C$10:$AT$69,36,FALSE)</f>
        <v>549.36</v>
      </c>
      <c r="M163" s="88">
        <f>VLOOKUP(C163,'Tie-Down Provision Workings'!$C$10:$AT$69,42,FALSE)</f>
        <v>9.1014999271879997</v>
      </c>
    </row>
    <row r="164" spans="2:13" x14ac:dyDescent="0.25">
      <c r="B164" s="181"/>
      <c r="C164" s="231"/>
      <c r="D164" s="184"/>
      <c r="E164" s="20" t="s">
        <v>74</v>
      </c>
      <c r="F164" s="120">
        <f t="shared" ref="F164" si="57">$D$5</f>
        <v>2</v>
      </c>
      <c r="G164" s="141">
        <f>VLOOKUP(C163,'Tie-Down Provision Workings'!$C$10:$AT$69,4,FALSE)</f>
        <v>274.68</v>
      </c>
      <c r="H164" s="239"/>
      <c r="I164" s="167"/>
      <c r="J164" s="144">
        <f>IF(K164="Shear",VLOOKUP(C163,'Tie-Down Provision Workings'!$C$10:$AT$69,13,FALSE),VLOOKUP(C163,'Tie-Down Provision Workings'!$C$10:$AT$69,12,FALSE))</f>
        <v>5000</v>
      </c>
      <c r="K164" s="87" t="str">
        <f>VLOOKUP(C163,'Tie-Down Provision Workings'!$C$10:$AT$69,40,FALSE)</f>
        <v>Tensile</v>
      </c>
      <c r="L164" s="86">
        <f>VLOOKUP(C163,'Tie-Down Provision Workings'!$C$10:$AT$69,37,FALSE)</f>
        <v>274.68</v>
      </c>
      <c r="M164" s="88">
        <f>VLOOKUP(C163,'Tie-Down Provision Workings'!$C$10:$AT$69,43,FALSE)</f>
        <v>18.202999854375999</v>
      </c>
    </row>
    <row r="165" spans="2:13" x14ac:dyDescent="0.25">
      <c r="B165" s="182"/>
      <c r="C165" s="231"/>
      <c r="D165" s="184"/>
      <c r="E165" s="20" t="s">
        <v>2</v>
      </c>
      <c r="F165" s="120">
        <f t="shared" ref="F165" si="58">$D$6</f>
        <v>1.5</v>
      </c>
      <c r="G165" s="141">
        <f>VLOOKUP(C163,'Tie-Down Provision Workings'!$C$10:$AT$69,5,FALSE)</f>
        <v>206.01</v>
      </c>
      <c r="H165" s="239"/>
      <c r="I165" s="168"/>
      <c r="J165" s="144">
        <f>IF(K165="Shear",VLOOKUP(C163,'Tie-Down Provision Workings'!$C$10:$AT$69,13,FALSE),VLOOKUP(C163,'Tie-Down Provision Workings'!$C$10:$AT$69,12,FALSE))</f>
        <v>5000</v>
      </c>
      <c r="K165" s="87" t="str">
        <f>VLOOKUP(C163,'Tie-Down Provision Workings'!$C$10:$AT$69,41,FALSE)</f>
        <v>Shear</v>
      </c>
      <c r="L165" s="86">
        <f>VLOOKUP(C163,'Tie-Down Provision Workings'!$C$10:$AT$69,38,FALSE)</f>
        <v>206.01</v>
      </c>
      <c r="M165" s="88">
        <f>VLOOKUP(C163,'Tie-Down Provision Workings'!$C$10:$AT$69,44,FALSE)</f>
        <v>24.270666472501336</v>
      </c>
    </row>
    <row r="166" spans="2:13" x14ac:dyDescent="0.25">
      <c r="B166" s="185">
        <v>48</v>
      </c>
      <c r="C166" s="238" t="str">
        <f>VLOOKUP(B166,'Tie-Down Provision Workings'!$B$10:$AT$69,2,FALSE)</f>
        <v>Diesel Jerry Cans (8x) spring latched to the Utility rack that fastened to the floor at the Outdoor Facilities Area</v>
      </c>
      <c r="D166" s="179">
        <f>VLOOKUP(C166,'Tie-Down Provision Workings'!$C$10:$AT$69,2,FALSE)</f>
        <v>160</v>
      </c>
      <c r="E166" s="23" t="s">
        <v>73</v>
      </c>
      <c r="F166" s="119">
        <f t="shared" ref="F166" si="59">$D$4</f>
        <v>4</v>
      </c>
      <c r="G166" s="140">
        <f>VLOOKUP(C166,'Tie-Down Provision Workings'!$C$10:$AT$69,3,FALSE)</f>
        <v>6278.4000000000005</v>
      </c>
      <c r="H166" s="137" t="s">
        <v>38</v>
      </c>
      <c r="I166" s="137">
        <v>8</v>
      </c>
      <c r="J166" s="143">
        <v>10509.12</v>
      </c>
      <c r="K166" s="81" t="str">
        <f>VLOOKUP(C166,'Tie-Down Provision Workings'!$C$10:$AT$69,39,FALSE)</f>
        <v>Shear</v>
      </c>
      <c r="L166" s="80">
        <f>G166/I166</f>
        <v>784.80000000000007</v>
      </c>
      <c r="M166" s="82">
        <f>J166/L166</f>
        <v>13.390825688073395</v>
      </c>
    </row>
    <row r="167" spans="2:13" x14ac:dyDescent="0.25">
      <c r="B167" s="186"/>
      <c r="C167" s="238"/>
      <c r="D167" s="179"/>
      <c r="E167" s="23" t="s">
        <v>74</v>
      </c>
      <c r="F167" s="119">
        <f t="shared" ref="F167" si="60">$D$5</f>
        <v>2</v>
      </c>
      <c r="G167" s="140">
        <f>VLOOKUP(C166,'Tie-Down Provision Workings'!$C$10:$AT$69,4,FALSE)</f>
        <v>3139.2000000000003</v>
      </c>
      <c r="H167" s="137" t="s">
        <v>38</v>
      </c>
      <c r="I167" s="137">
        <v>8</v>
      </c>
      <c r="J167" s="143">
        <v>21018.240000000002</v>
      </c>
      <c r="K167" s="81" t="str">
        <f>VLOOKUP(C166,'Tie-Down Provision Workings'!$C$10:$AT$69,40,FALSE)</f>
        <v>Tensile</v>
      </c>
      <c r="L167" s="80">
        <f>G167/I167</f>
        <v>392.40000000000003</v>
      </c>
      <c r="M167" s="82">
        <f>J167/L167</f>
        <v>53.563302752293581</v>
      </c>
    </row>
    <row r="168" spans="2:13" x14ac:dyDescent="0.25">
      <c r="B168" s="187"/>
      <c r="C168" s="238"/>
      <c r="D168" s="179"/>
      <c r="E168" s="23" t="s">
        <v>2</v>
      </c>
      <c r="F168" s="119">
        <f t="shared" ref="F168" si="61">$D$6</f>
        <v>1.5</v>
      </c>
      <c r="G168" s="140">
        <f>VLOOKUP(C166,'Tie-Down Provision Workings'!$C$10:$AT$69,5,FALSE)</f>
        <v>2354.4</v>
      </c>
      <c r="H168" s="137" t="str">
        <f>VLOOKUP(C166,'Tie-Down Provision Workings'!$C$10:$AT$69,8,FALSE)</f>
        <v>Spring Latch</v>
      </c>
      <c r="I168" s="137">
        <f>'Tie-Down Provision Workings'!S57</f>
        <v>2</v>
      </c>
      <c r="J168" s="143">
        <f>IF(K168="Shear",VLOOKUP(C166,'Tie-Down Provision Workings'!$C$10:$AT$69,13,FALSE),VLOOKUP(C166,'Tie-Down Provision Workings'!$C$10:$AT$69,12,FALSE))</f>
        <v>9330.5301811616864</v>
      </c>
      <c r="K168" s="81" t="str">
        <f>VLOOKUP(C166,'Tie-Down Provision Workings'!$C$10:$AT$69,41,FALSE)</f>
        <v>Shear</v>
      </c>
      <c r="L168" s="80">
        <f>VLOOKUP(C166,'Tie-Down Provision Workings'!$C$10:$AT$69,38,FALSE)</f>
        <v>1177.2</v>
      </c>
      <c r="M168" s="82">
        <f>VLOOKUP(C166,'Tie-Down Provision Workings'!$C$10:$AT$69,44,FALSE)</f>
        <v>7.9260365113503957</v>
      </c>
    </row>
    <row r="169" spans="2:13" x14ac:dyDescent="0.25">
      <c r="B169" s="180">
        <v>49</v>
      </c>
      <c r="C169" s="183" t="str">
        <f>VLOOKUP(B169,'Tie-Down Provision Workings'!$B$10:$AT$69,2,FALSE)</f>
        <v>Mast Guying Kit &amp; Tilt Rotator Kit strap to the floor at Operation Area</v>
      </c>
      <c r="D169" s="184">
        <f>VLOOKUP(C169,'Tie-Down Provision Workings'!$C$10:$AT$69,2,FALSE)</f>
        <v>59</v>
      </c>
      <c r="E169" s="20" t="s">
        <v>73</v>
      </c>
      <c r="F169" s="114">
        <f t="shared" ref="F169" si="62">$D$4</f>
        <v>4</v>
      </c>
      <c r="G169" s="141">
        <f>VLOOKUP(C169,'Tie-Down Provision Workings'!$C$10:$AT$69,3,FALSE)</f>
        <v>2354.4</v>
      </c>
      <c r="H169" s="239" t="str">
        <f>VLOOKUP(C169,'Tie-Down Provision Workings'!$C$10:$AT$69,8,FALSE)</f>
        <v>camlock Strap (1.5")</v>
      </c>
      <c r="I169" s="166">
        <f>'Tie-Down Provision Workings'!S58</f>
        <v>2</v>
      </c>
      <c r="J169" s="144">
        <f>IF(K169="Shear",VLOOKUP(C169,'Tie-Down Provision Workings'!$C$10:$AT$69,13,FALSE),VLOOKUP(C169,'Tie-Down Provision Workings'!$C$10:$AT$69,12,FALSE))</f>
        <v>18000</v>
      </c>
      <c r="K169" s="87" t="str">
        <f>VLOOKUP(C169,'Tie-Down Provision Workings'!$C$10:$AT$69,39,FALSE)</f>
        <v>Shear</v>
      </c>
      <c r="L169" s="86">
        <f>VLOOKUP(C169,'Tie-Down Provision Workings'!$C$10:$AT$69,36,FALSE)</f>
        <v>1177.2</v>
      </c>
      <c r="M169" s="88">
        <f>VLOOKUP(C169,'Tie-Down Provision Workings'!$C$10:$AT$69,42,FALSE)</f>
        <v>15.290519877675841</v>
      </c>
    </row>
    <row r="170" spans="2:13" x14ac:dyDescent="0.25">
      <c r="B170" s="181"/>
      <c r="C170" s="183"/>
      <c r="D170" s="184"/>
      <c r="E170" s="20" t="s">
        <v>74</v>
      </c>
      <c r="F170" s="120">
        <f t="shared" ref="F170" si="63">$D$5</f>
        <v>2</v>
      </c>
      <c r="G170" s="141">
        <f>VLOOKUP(C169,'Tie-Down Provision Workings'!$C$10:$AT$69,4,FALSE)</f>
        <v>1177.2</v>
      </c>
      <c r="H170" s="239"/>
      <c r="I170" s="167"/>
      <c r="J170" s="144">
        <f>IF(K170="Shear",VLOOKUP(C169,'Tie-Down Provision Workings'!$C$10:$AT$69,13,FALSE),VLOOKUP(C169,'Tie-Down Provision Workings'!$C$10:$AT$69,12,FALSE))</f>
        <v>18000</v>
      </c>
      <c r="K170" s="87" t="str">
        <f>VLOOKUP(C169,'Tie-Down Provision Workings'!$C$10:$AT$69,40,FALSE)</f>
        <v>Tensile</v>
      </c>
      <c r="L170" s="86">
        <f>VLOOKUP(C169,'Tie-Down Provision Workings'!$C$10:$AT$69,37,FALSE)</f>
        <v>588.6</v>
      </c>
      <c r="M170" s="88">
        <f>VLOOKUP(C169,'Tie-Down Provision Workings'!$C$10:$AT$69,43,FALSE)</f>
        <v>30.581039755351682</v>
      </c>
    </row>
    <row r="171" spans="2:13" x14ac:dyDescent="0.25">
      <c r="B171" s="182"/>
      <c r="C171" s="183"/>
      <c r="D171" s="184"/>
      <c r="E171" s="20" t="s">
        <v>2</v>
      </c>
      <c r="F171" s="120">
        <f t="shared" ref="F171" si="64">$D$6</f>
        <v>1.5</v>
      </c>
      <c r="G171" s="141">
        <f>VLOOKUP(C169,'Tie-Down Provision Workings'!$C$10:$AT$69,5,FALSE)</f>
        <v>882.90000000000009</v>
      </c>
      <c r="H171" s="239"/>
      <c r="I171" s="168"/>
      <c r="J171" s="144">
        <f>IF(K171="Shear",VLOOKUP(C169,'Tie-Down Provision Workings'!$C$10:$AT$69,13,FALSE),VLOOKUP(C169,'Tie-Down Provision Workings'!$C$10:$AT$69,12,FALSE))</f>
        <v>18000</v>
      </c>
      <c r="K171" s="87" t="str">
        <f>VLOOKUP(C169,'Tie-Down Provision Workings'!$C$10:$AT$69,41,FALSE)</f>
        <v>Shear</v>
      </c>
      <c r="L171" s="86">
        <f>VLOOKUP(C169,'Tie-Down Provision Workings'!$C$10:$AT$69,38,FALSE)</f>
        <v>441.45000000000005</v>
      </c>
      <c r="M171" s="88">
        <f>VLOOKUP(C169,'Tie-Down Provision Workings'!$C$10:$AT$69,44,FALSE)</f>
        <v>40.774719673802238</v>
      </c>
    </row>
    <row r="172" spans="2:13" ht="15.75" thickBot="1" x14ac:dyDescent="0.3">
      <c r="B172" s="14"/>
      <c r="C172" s="14"/>
      <c r="D172" s="31"/>
      <c r="E172" s="32"/>
      <c r="F172" s="14"/>
      <c r="G172" s="33"/>
      <c r="H172" s="14"/>
      <c r="I172" s="14"/>
      <c r="J172" s="14"/>
      <c r="K172" s="33"/>
      <c r="L172" s="33"/>
      <c r="M172" s="33"/>
    </row>
    <row r="173" spans="2:13" ht="15" customHeight="1" thickTop="1" thickBot="1" x14ac:dyDescent="0.3">
      <c r="B173" s="15"/>
      <c r="C173" s="15"/>
      <c r="D173" s="15"/>
      <c r="E173" s="212" t="s">
        <v>69</v>
      </c>
      <c r="F173" s="213"/>
      <c r="G173" s="213"/>
      <c r="H173" s="214" t="s">
        <v>67</v>
      </c>
      <c r="I173" s="215"/>
      <c r="J173" s="215"/>
      <c r="K173" s="215"/>
      <c r="L173" s="215"/>
      <c r="M173" s="216"/>
    </row>
    <row r="174" spans="2:13" ht="45.75" thickTop="1" x14ac:dyDescent="0.25">
      <c r="B174" s="117" t="s">
        <v>0</v>
      </c>
      <c r="C174" s="118" t="s">
        <v>1</v>
      </c>
      <c r="D174" s="118" t="s">
        <v>95</v>
      </c>
      <c r="E174" s="16" t="s">
        <v>75</v>
      </c>
      <c r="F174" s="16" t="s">
        <v>76</v>
      </c>
      <c r="G174" s="16" t="s">
        <v>78</v>
      </c>
      <c r="H174" s="16" t="s">
        <v>68</v>
      </c>
      <c r="I174" s="16" t="s">
        <v>70</v>
      </c>
      <c r="J174" s="16" t="s">
        <v>66</v>
      </c>
      <c r="K174" s="16" t="s">
        <v>77</v>
      </c>
      <c r="L174" s="16" t="s">
        <v>71</v>
      </c>
      <c r="M174" s="17" t="s">
        <v>72</v>
      </c>
    </row>
    <row r="175" spans="2:13" x14ac:dyDescent="0.25">
      <c r="B175" s="185">
        <v>50</v>
      </c>
      <c r="C175" s="238" t="str">
        <f>VLOOKUP(B175,'Tie-Down Provision Workings'!$B$10:$AT$69,2,FALSE)</f>
        <v>Power Cable Bag &amp; Grounding Kit</v>
      </c>
      <c r="D175" s="179">
        <f>VLOOKUP(C175,'Tie-Down Provision Workings'!$C$10:$AT$69,2,FALSE)</f>
        <v>40</v>
      </c>
      <c r="E175" s="23" t="s">
        <v>73</v>
      </c>
      <c r="F175" s="119">
        <f t="shared" ref="F175" si="65">$D$4</f>
        <v>4</v>
      </c>
      <c r="G175" s="80">
        <f>VLOOKUP(C175,'Tie-Down Provision Workings'!$C$10:$AT$69,3,FALSE)</f>
        <v>1569.6000000000001</v>
      </c>
      <c r="H175" s="240" t="str">
        <f>VLOOKUP(C175,'Tie-Down Provision Workings'!$C$10:$AT$69,8,FALSE)</f>
        <v>camlock Strap (1.5")</v>
      </c>
      <c r="I175" s="160">
        <f>'Tie-Down Provision Workings'!S59</f>
        <v>2</v>
      </c>
      <c r="J175" s="80">
        <f>IF(K175="Shear",VLOOKUP(C175,'Tie-Down Provision Workings'!$C$10:$AT$69,13,FALSE),VLOOKUP(C175,'Tie-Down Provision Workings'!$C$10:$AT$69,12,FALSE))</f>
        <v>18000</v>
      </c>
      <c r="K175" s="81" t="str">
        <f>VLOOKUP(C175,'Tie-Down Provision Workings'!$C$10:$AT$69,39,FALSE)</f>
        <v>Shear</v>
      </c>
      <c r="L175" s="80">
        <f>VLOOKUP(C175,'Tie-Down Provision Workings'!$C$10:$AT$69,36,FALSE)</f>
        <v>784.80000000000007</v>
      </c>
      <c r="M175" s="82">
        <f>VLOOKUP(C175,'Tie-Down Provision Workings'!$C$10:$AT$69,42,FALSE)</f>
        <v>22.935779816513758</v>
      </c>
    </row>
    <row r="176" spans="2:13" x14ac:dyDescent="0.25">
      <c r="B176" s="186"/>
      <c r="C176" s="238"/>
      <c r="D176" s="179"/>
      <c r="E176" s="23" t="s">
        <v>74</v>
      </c>
      <c r="F176" s="119">
        <f t="shared" ref="F176" si="66">$D$5</f>
        <v>2</v>
      </c>
      <c r="G176" s="80">
        <f>VLOOKUP(C175,'Tie-Down Provision Workings'!$C$10:$AT$69,4,FALSE)</f>
        <v>784.80000000000007</v>
      </c>
      <c r="H176" s="240"/>
      <c r="I176" s="161"/>
      <c r="J176" s="80">
        <f>IF(K176="Shear",VLOOKUP(C175,'Tie-Down Provision Workings'!$C$10:$AT$69,13,FALSE),VLOOKUP(C175,'Tie-Down Provision Workings'!$C$10:$AT$69,12,FALSE))</f>
        <v>18000</v>
      </c>
      <c r="K176" s="81" t="str">
        <f>VLOOKUP(C175,'Tie-Down Provision Workings'!$C$10:$AT$69,40,FALSE)</f>
        <v>Tensile</v>
      </c>
      <c r="L176" s="80">
        <f>VLOOKUP(C175,'Tie-Down Provision Workings'!$C$10:$AT$69,37,FALSE)</f>
        <v>392.40000000000003</v>
      </c>
      <c r="M176" s="82">
        <f>VLOOKUP(C175,'Tie-Down Provision Workings'!$C$10:$AT$69,43,FALSE)</f>
        <v>45.871559633027516</v>
      </c>
    </row>
    <row r="177" spans="2:13" x14ac:dyDescent="0.25">
      <c r="B177" s="187"/>
      <c r="C177" s="238"/>
      <c r="D177" s="179"/>
      <c r="E177" s="23" t="s">
        <v>2</v>
      </c>
      <c r="F177" s="119">
        <f t="shared" ref="F177" si="67">$D$6</f>
        <v>1.5</v>
      </c>
      <c r="G177" s="80">
        <f>VLOOKUP(C175,'Tie-Down Provision Workings'!$C$10:$AT$69,5,FALSE)</f>
        <v>588.6</v>
      </c>
      <c r="H177" s="240"/>
      <c r="I177" s="162"/>
      <c r="J177" s="80">
        <f>IF(K177="Shear",VLOOKUP(C175,'Tie-Down Provision Workings'!$C$10:$AT$69,13,FALSE),VLOOKUP(C175,'Tie-Down Provision Workings'!$C$10:$AT$69,12,FALSE))</f>
        <v>18000</v>
      </c>
      <c r="K177" s="81" t="str">
        <f>VLOOKUP(C175,'Tie-Down Provision Workings'!$C$10:$AT$69,41,FALSE)</f>
        <v>Shear</v>
      </c>
      <c r="L177" s="80">
        <f>VLOOKUP(C175,'Tie-Down Provision Workings'!$C$10:$AT$69,38,FALSE)</f>
        <v>294.3</v>
      </c>
      <c r="M177" s="82">
        <f>VLOOKUP(C175,'Tie-Down Provision Workings'!$C$10:$AT$69,44,FALSE)</f>
        <v>61.162079510703364</v>
      </c>
    </row>
    <row r="178" spans="2:13" x14ac:dyDescent="0.25">
      <c r="B178" s="180">
        <v>51</v>
      </c>
      <c r="C178" s="231" t="str">
        <f>VLOOKUP(B178,'Tie-Down Provision Workings'!$B$10:$AT$69,2,FALSE)</f>
        <v>IP Phone (1, 2) fastened to the right wall on top of Foldable Table in Operation Area</v>
      </c>
      <c r="D178" s="184">
        <f>VLOOKUP(C178,'Tie-Down Provision Workings'!$C$10:$AT$69,2,FALSE)</f>
        <v>2</v>
      </c>
      <c r="E178" s="123" t="s">
        <v>73</v>
      </c>
      <c r="F178" s="114">
        <f t="shared" ref="F178" si="68">$D$4</f>
        <v>4</v>
      </c>
      <c r="G178" s="86">
        <f>VLOOKUP(C178,'Tie-Down Provision Workings'!$C$10:$AT$69,3,FALSE)</f>
        <v>78.48</v>
      </c>
      <c r="H178" s="239" t="str">
        <f>VLOOKUP(C178,'Tie-Down Provision Workings'!$C$10:$AT$69,8,FALSE)</f>
        <v>M6</v>
      </c>
      <c r="I178" s="166">
        <f>'Tie-Down Provision Workings'!S60</f>
        <v>2</v>
      </c>
      <c r="J178" s="86">
        <f>IF(K178="Shear",VLOOKUP(C178,'Tie-Down Provision Workings'!$C$10:$AT$69,13,FALSE),VLOOKUP(C178,'Tie-Down Provision Workings'!$C$10:$AT$69,12,FALSE))</f>
        <v>5726.08</v>
      </c>
      <c r="K178" s="87" t="str">
        <f>VLOOKUP(C178,'Tie-Down Provision Workings'!$C$10:$AT$69,39,FALSE)</f>
        <v>Shear</v>
      </c>
      <c r="L178" s="86">
        <f>VLOOKUP(C178,'Tie-Down Provision Workings'!$C$10:$AT$69,36,FALSE)</f>
        <v>39.24</v>
      </c>
      <c r="M178" s="88">
        <f>VLOOKUP(C178,'Tie-Down Provision Workings'!$C$10:$AT$69,42,FALSE)</f>
        <v>145.92456676860346</v>
      </c>
    </row>
    <row r="179" spans="2:13" x14ac:dyDescent="0.25">
      <c r="B179" s="181"/>
      <c r="C179" s="231"/>
      <c r="D179" s="184"/>
      <c r="E179" s="20" t="s">
        <v>74</v>
      </c>
      <c r="F179" s="120">
        <f t="shared" ref="F179" si="69">$D$5</f>
        <v>2</v>
      </c>
      <c r="G179" s="86">
        <f>VLOOKUP(C178,'Tie-Down Provision Workings'!$C$10:$AT$69,4,FALSE)</f>
        <v>39.24</v>
      </c>
      <c r="H179" s="239"/>
      <c r="I179" s="167"/>
      <c r="J179" s="86">
        <f>IF(K179="Shear",VLOOKUP(C178,'Tie-Down Provision Workings'!$C$10:$AT$69,13,FALSE),VLOOKUP(C178,'Tie-Down Provision Workings'!$C$10:$AT$69,12,FALSE))</f>
        <v>5726.08</v>
      </c>
      <c r="K179" s="87" t="str">
        <f>VLOOKUP(C178,'Tie-Down Provision Workings'!$C$10:$AT$69,40,FALSE)</f>
        <v>Shear</v>
      </c>
      <c r="L179" s="86">
        <f>VLOOKUP(C178,'Tie-Down Provision Workings'!$C$10:$AT$69,37,FALSE)</f>
        <v>19.62</v>
      </c>
      <c r="M179" s="88">
        <f>VLOOKUP(C178,'Tie-Down Provision Workings'!$C$10:$AT$69,43,FALSE)</f>
        <v>291.84913353720691</v>
      </c>
    </row>
    <row r="180" spans="2:13" x14ac:dyDescent="0.25">
      <c r="B180" s="182"/>
      <c r="C180" s="231"/>
      <c r="D180" s="184"/>
      <c r="E180" s="20" t="s">
        <v>2</v>
      </c>
      <c r="F180" s="120">
        <f t="shared" ref="F180" si="70">$D$6</f>
        <v>1.5</v>
      </c>
      <c r="G180" s="86">
        <f>VLOOKUP(C178,'Tie-Down Provision Workings'!$C$10:$AT$69,5,FALSE)</f>
        <v>29.43</v>
      </c>
      <c r="H180" s="239"/>
      <c r="I180" s="168"/>
      <c r="J180" s="86">
        <f>IF(K180="Shear",VLOOKUP(C178,'Tie-Down Provision Workings'!$C$10:$AT$69,13,FALSE),VLOOKUP(C178,'Tie-Down Provision Workings'!$C$10:$AT$69,12,FALSE))</f>
        <v>11452.16</v>
      </c>
      <c r="K180" s="87" t="str">
        <f>VLOOKUP(C178,'Tie-Down Provision Workings'!$C$10:$AT$69,41,FALSE)</f>
        <v>Tensile</v>
      </c>
      <c r="L180" s="86">
        <f>VLOOKUP(C178,'Tie-Down Provision Workings'!$C$10:$AT$69,38,FALSE)</f>
        <v>14.715</v>
      </c>
      <c r="M180" s="88">
        <f>VLOOKUP(C178,'Tie-Down Provision Workings'!$C$10:$AT$69,44,FALSE)</f>
        <v>778.2643560992185</v>
      </c>
    </row>
    <row r="181" spans="2:13" x14ac:dyDescent="0.25">
      <c r="B181" s="185">
        <v>52</v>
      </c>
      <c r="C181" s="178" t="str">
        <f>VLOOKUP(B181,'Tie-Down Provision Workings'!$B$10:$AT$69,2,FALSE)</f>
        <v>IP Phone (3) fastened to the top of equipment rack in Operation Area</v>
      </c>
      <c r="D181" s="179">
        <f>VLOOKUP(C181,'Tie-Down Provision Workings'!$C$10:$AT$69,2,FALSE)</f>
        <v>2</v>
      </c>
      <c r="E181" s="124" t="s">
        <v>73</v>
      </c>
      <c r="F181" s="122">
        <f t="shared" ref="F181" si="71">$D$4</f>
        <v>4</v>
      </c>
      <c r="G181" s="80">
        <f>VLOOKUP(C181,'Tie-Down Provision Workings'!$C$10:$AT$69,3,FALSE)</f>
        <v>78.48</v>
      </c>
      <c r="H181" s="240" t="str">
        <f>VLOOKUP(C181,'Tie-Down Provision Workings'!$C$10:$AT$69,8,FALSE)</f>
        <v>M6</v>
      </c>
      <c r="I181" s="160">
        <f>'Tie-Down Provision Workings'!S61</f>
        <v>2</v>
      </c>
      <c r="J181" s="80">
        <f>IF(K181="Shear",VLOOKUP(C181,'Tie-Down Provision Workings'!$C$10:$AT$69,13,FALSE),VLOOKUP(C181,'Tie-Down Provision Workings'!$C$10:$AT$69,12,FALSE))</f>
        <v>5726.08</v>
      </c>
      <c r="K181" s="81" t="str">
        <f>VLOOKUP(C181,'Tie-Down Provision Workings'!$C$10:$AT$69,39,FALSE)</f>
        <v>Shear</v>
      </c>
      <c r="L181" s="80">
        <f>VLOOKUP(C181,'Tie-Down Provision Workings'!$C$10:$AT$69,36,FALSE)</f>
        <v>39.24</v>
      </c>
      <c r="M181" s="82">
        <f>VLOOKUP(C181,'Tie-Down Provision Workings'!$C$10:$AT$69,42,FALSE)</f>
        <v>145.92456676860346</v>
      </c>
    </row>
    <row r="182" spans="2:13" x14ac:dyDescent="0.25">
      <c r="B182" s="186"/>
      <c r="C182" s="178"/>
      <c r="D182" s="179"/>
      <c r="E182" s="23" t="s">
        <v>74</v>
      </c>
      <c r="F182" s="119">
        <f t="shared" ref="F182" si="72">$D$5</f>
        <v>2</v>
      </c>
      <c r="G182" s="80">
        <f>VLOOKUP(C181,'Tie-Down Provision Workings'!$C$10:$AT$69,4,FALSE)</f>
        <v>39.24</v>
      </c>
      <c r="H182" s="240"/>
      <c r="I182" s="161"/>
      <c r="J182" s="80">
        <f>IF(K182="Shear",VLOOKUP(C181,'Tie-Down Provision Workings'!$C$10:$AT$69,13,FALSE),VLOOKUP(C181,'Tie-Down Provision Workings'!$C$10:$AT$69,12,FALSE))</f>
        <v>11452.16</v>
      </c>
      <c r="K182" s="81" t="str">
        <f>VLOOKUP(C181,'Tie-Down Provision Workings'!$C$10:$AT$69,40,FALSE)</f>
        <v>Tensile</v>
      </c>
      <c r="L182" s="80">
        <f>VLOOKUP(C181,'Tie-Down Provision Workings'!$C$10:$AT$69,37,FALSE)</f>
        <v>19.62</v>
      </c>
      <c r="M182" s="82">
        <f>VLOOKUP(C181,'Tie-Down Provision Workings'!$C$10:$AT$69,43,FALSE)</f>
        <v>583.69826707441382</v>
      </c>
    </row>
    <row r="183" spans="2:13" x14ac:dyDescent="0.25">
      <c r="B183" s="187"/>
      <c r="C183" s="178"/>
      <c r="D183" s="179"/>
      <c r="E183" s="23" t="s">
        <v>2</v>
      </c>
      <c r="F183" s="119">
        <f t="shared" ref="F183" si="73">$D$6</f>
        <v>1.5</v>
      </c>
      <c r="G183" s="80">
        <f>VLOOKUP(C181,'Tie-Down Provision Workings'!$C$10:$AT$69,5,FALSE)</f>
        <v>29.43</v>
      </c>
      <c r="H183" s="240"/>
      <c r="I183" s="162"/>
      <c r="J183" s="80">
        <f>IF(K183="Shear",VLOOKUP(C181,'Tie-Down Provision Workings'!$C$10:$AT$69,13,FALSE),VLOOKUP(C181,'Tie-Down Provision Workings'!$C$10:$AT$69,12,FALSE))</f>
        <v>5726.08</v>
      </c>
      <c r="K183" s="81" t="str">
        <f>VLOOKUP(C181,'Tie-Down Provision Workings'!$C$10:$AT$69,41,FALSE)</f>
        <v>Shear</v>
      </c>
      <c r="L183" s="80">
        <f>VLOOKUP(C181,'Tie-Down Provision Workings'!$C$10:$AT$69,38,FALSE)</f>
        <v>14.715</v>
      </c>
      <c r="M183" s="82">
        <f>VLOOKUP(C181,'Tie-Down Provision Workings'!$C$10:$AT$69,44,FALSE)</f>
        <v>389.13217804960925</v>
      </c>
    </row>
    <row r="184" spans="2:13" x14ac:dyDescent="0.25">
      <c r="B184" s="180">
        <v>53</v>
      </c>
      <c r="C184" s="231" t="str">
        <f>VLOOKUP(B184,'Tie-Down Provision Workings'!$B$10:$AT$69,2,FALSE)</f>
        <v>Rifle Clip (1,2,3) fastened to left wall</v>
      </c>
      <c r="D184" s="184">
        <f>VLOOKUP(C184,'Tie-Down Provision Workings'!$C$10:$AT$69,2,FALSE)</f>
        <v>2</v>
      </c>
      <c r="E184" s="123" t="s">
        <v>73</v>
      </c>
      <c r="F184" s="114">
        <f t="shared" ref="F184" si="74">$D$4</f>
        <v>4</v>
      </c>
      <c r="G184" s="86">
        <f>VLOOKUP(C184,'Tie-Down Provision Workings'!$C$10:$AT$69,3,FALSE)</f>
        <v>78.48</v>
      </c>
      <c r="H184" s="239" t="str">
        <f>VLOOKUP(C184,'Tie-Down Provision Workings'!$C$10:$AT$69,8,FALSE)</f>
        <v>M6</v>
      </c>
      <c r="I184" s="166">
        <f>'Tie-Down Provision Workings'!S62</f>
        <v>2</v>
      </c>
      <c r="J184" s="86">
        <f>IF(K184="Shear",VLOOKUP(C184,'Tie-Down Provision Workings'!$C$10:$AT$69,13,FALSE),VLOOKUP(C184,'Tie-Down Provision Workings'!$C$10:$AT$69,12,FALSE))</f>
        <v>5726.08</v>
      </c>
      <c r="K184" s="87" t="str">
        <f>VLOOKUP(C184,'Tie-Down Provision Workings'!$C$10:$AT$69,39,FALSE)</f>
        <v>Shear</v>
      </c>
      <c r="L184" s="86">
        <f>VLOOKUP(C184,'Tie-Down Provision Workings'!$C$10:$AT$69,36,FALSE)</f>
        <v>39.24</v>
      </c>
      <c r="M184" s="88">
        <f>VLOOKUP(C184,'Tie-Down Provision Workings'!$C$10:$AT$69,42,FALSE)</f>
        <v>145.92456676860346</v>
      </c>
    </row>
    <row r="185" spans="2:13" x14ac:dyDescent="0.25">
      <c r="B185" s="181"/>
      <c r="C185" s="231"/>
      <c r="D185" s="184"/>
      <c r="E185" s="20" t="s">
        <v>74</v>
      </c>
      <c r="F185" s="120">
        <f t="shared" ref="F185" si="75">$D$5</f>
        <v>2</v>
      </c>
      <c r="G185" s="86">
        <f>VLOOKUP(C184,'Tie-Down Provision Workings'!$C$10:$AT$69,4,FALSE)</f>
        <v>39.24</v>
      </c>
      <c r="H185" s="239"/>
      <c r="I185" s="167"/>
      <c r="J185" s="86">
        <f>IF(K185="Shear",VLOOKUP(C184,'Tie-Down Provision Workings'!$C$10:$AT$69,13,FALSE),VLOOKUP(C184,'Tie-Down Provision Workings'!$C$10:$AT$69,12,FALSE))</f>
        <v>5726.08</v>
      </c>
      <c r="K185" s="87" t="str">
        <f>VLOOKUP(C184,'Tie-Down Provision Workings'!$C$10:$AT$69,40,FALSE)</f>
        <v>Shear</v>
      </c>
      <c r="L185" s="86">
        <f>VLOOKUP(C184,'Tie-Down Provision Workings'!$C$10:$AT$69,37,FALSE)</f>
        <v>19.62</v>
      </c>
      <c r="M185" s="88">
        <f>VLOOKUP(C184,'Tie-Down Provision Workings'!$C$10:$AT$69,43,FALSE)</f>
        <v>291.84913353720691</v>
      </c>
    </row>
    <row r="186" spans="2:13" x14ac:dyDescent="0.25">
      <c r="B186" s="182"/>
      <c r="C186" s="231"/>
      <c r="D186" s="184"/>
      <c r="E186" s="20" t="s">
        <v>2</v>
      </c>
      <c r="F186" s="120">
        <f t="shared" ref="F186" si="76">$D$6</f>
        <v>1.5</v>
      </c>
      <c r="G186" s="86">
        <f>VLOOKUP(C184,'Tie-Down Provision Workings'!$C$10:$AT$69,5,FALSE)</f>
        <v>29.43</v>
      </c>
      <c r="H186" s="239"/>
      <c r="I186" s="168"/>
      <c r="J186" s="86">
        <f>IF(K186="Shear",VLOOKUP(C184,'Tie-Down Provision Workings'!$C$10:$AT$69,13,FALSE),VLOOKUP(C184,'Tie-Down Provision Workings'!$C$10:$AT$69,12,FALSE))</f>
        <v>11452.16</v>
      </c>
      <c r="K186" s="87" t="str">
        <f>VLOOKUP(C184,'Tie-Down Provision Workings'!$C$10:$AT$69,41,FALSE)</f>
        <v>Tensile</v>
      </c>
      <c r="L186" s="86">
        <f>VLOOKUP(C184,'Tie-Down Provision Workings'!$C$10:$AT$69,38,FALSE)</f>
        <v>14.715</v>
      </c>
      <c r="M186" s="88">
        <f>VLOOKUP(C184,'Tie-Down Provision Workings'!$C$10:$AT$69,44,FALSE)</f>
        <v>778.2643560992185</v>
      </c>
    </row>
    <row r="187" spans="2:13" x14ac:dyDescent="0.25">
      <c r="B187" s="185">
        <v>54</v>
      </c>
      <c r="C187" s="238" t="str">
        <f>VLOOKUP(B187,'Tie-Down Provision Workings'!$B$10:$AT$69,2,FALSE)</f>
        <v>Lightings (4x) fastened to Ceiling</v>
      </c>
      <c r="D187" s="179">
        <f>VLOOKUP(C187,'Tie-Down Provision Workings'!$C$10:$AT$69,2,FALSE)</f>
        <v>1.6</v>
      </c>
      <c r="E187" s="124" t="s">
        <v>73</v>
      </c>
      <c r="F187" s="122">
        <f t="shared" ref="F187" si="77">$D$4</f>
        <v>4</v>
      </c>
      <c r="G187" s="80">
        <f>VLOOKUP(C187,'Tie-Down Provision Workings'!$C$10:$AT$69,3,FALSE)</f>
        <v>62.784000000000006</v>
      </c>
      <c r="H187" s="240" t="str">
        <f>VLOOKUP(C187,'Tie-Down Provision Workings'!$C$10:$AT$69,8,FALSE)</f>
        <v>M6</v>
      </c>
      <c r="I187" s="160">
        <f>'Tie-Down Provision Workings'!S63</f>
        <v>4</v>
      </c>
      <c r="J187" s="80">
        <f>IF(K187="Shear",VLOOKUP(C187,'Tie-Down Provision Workings'!$C$10:$AT$69,13,FALSE),VLOOKUP(C187,'Tie-Down Provision Workings'!$C$10:$AT$69,12,FALSE))</f>
        <v>5726.08</v>
      </c>
      <c r="K187" s="81" t="str">
        <f>VLOOKUP(C187,'Tie-Down Provision Workings'!$C$10:$AT$69,39,FALSE)</f>
        <v>Shear</v>
      </c>
      <c r="L187" s="80">
        <f>VLOOKUP(C187,'Tie-Down Provision Workings'!$C$10:$AT$69,36,FALSE)</f>
        <v>15.696000000000002</v>
      </c>
      <c r="M187" s="82">
        <f>VLOOKUP(C187,'Tie-Down Provision Workings'!$C$10:$AT$69,42,FALSE)</f>
        <v>364.81141692150862</v>
      </c>
    </row>
    <row r="188" spans="2:13" x14ac:dyDescent="0.25">
      <c r="B188" s="186"/>
      <c r="C188" s="238"/>
      <c r="D188" s="179"/>
      <c r="E188" s="23" t="s">
        <v>74</v>
      </c>
      <c r="F188" s="119">
        <f t="shared" ref="F188" si="78">$D$5</f>
        <v>2</v>
      </c>
      <c r="G188" s="80">
        <f>VLOOKUP(C187,'Tie-Down Provision Workings'!$C$10:$AT$69,4,FALSE)</f>
        <v>31.392000000000003</v>
      </c>
      <c r="H188" s="240"/>
      <c r="I188" s="161"/>
      <c r="J188" s="80">
        <f>IF(K188="Shear",VLOOKUP(C187,'Tie-Down Provision Workings'!$C$10:$AT$69,13,FALSE),VLOOKUP(C187,'Tie-Down Provision Workings'!$C$10:$AT$69,12,FALSE))</f>
        <v>11452.16</v>
      </c>
      <c r="K188" s="81" t="str">
        <f>VLOOKUP(C187,'Tie-Down Provision Workings'!$C$10:$AT$69,40,FALSE)</f>
        <v>Tensile</v>
      </c>
      <c r="L188" s="80">
        <f>VLOOKUP(C187,'Tie-Down Provision Workings'!$C$10:$AT$69,37,FALSE)</f>
        <v>7.8480000000000008</v>
      </c>
      <c r="M188" s="82">
        <f>VLOOKUP(C187,'Tie-Down Provision Workings'!$C$10:$AT$69,43,FALSE)</f>
        <v>1459.2456676860345</v>
      </c>
    </row>
    <row r="189" spans="2:13" x14ac:dyDescent="0.25">
      <c r="B189" s="187"/>
      <c r="C189" s="238"/>
      <c r="D189" s="179"/>
      <c r="E189" s="23" t="s">
        <v>2</v>
      </c>
      <c r="F189" s="119">
        <f t="shared" ref="F189" si="79">$D$6</f>
        <v>1.5</v>
      </c>
      <c r="G189" s="80">
        <f>VLOOKUP(C187,'Tie-Down Provision Workings'!$C$10:$AT$69,5,FALSE)</f>
        <v>23.544000000000004</v>
      </c>
      <c r="H189" s="240"/>
      <c r="I189" s="162"/>
      <c r="J189" s="80">
        <f>IF(K189="Shear",VLOOKUP(C187,'Tie-Down Provision Workings'!$C$10:$AT$69,13,FALSE),VLOOKUP(C187,'Tie-Down Provision Workings'!$C$10:$AT$69,12,FALSE))</f>
        <v>5726.08</v>
      </c>
      <c r="K189" s="81" t="str">
        <f>VLOOKUP(C187,'Tie-Down Provision Workings'!$C$10:$AT$69,41,FALSE)</f>
        <v>Shear</v>
      </c>
      <c r="L189" s="80">
        <f>VLOOKUP(C187,'Tie-Down Provision Workings'!$C$10:$AT$69,38,FALSE)</f>
        <v>5.886000000000001</v>
      </c>
      <c r="M189" s="82">
        <f>VLOOKUP(C187,'Tie-Down Provision Workings'!$C$10:$AT$69,44,FALSE)</f>
        <v>972.83044512402296</v>
      </c>
    </row>
    <row r="190" spans="2:13" x14ac:dyDescent="0.25">
      <c r="B190" s="180">
        <v>55</v>
      </c>
      <c r="C190" s="231" t="str">
        <f>VLOOKUP(B190,'Tie-Down Provision Workings'!$B$10:$AT$69,2,FALSE)</f>
        <v>Ventilation Fan fastened to left wall</v>
      </c>
      <c r="D190" s="184">
        <f>VLOOKUP(C190,'Tie-Down Provision Workings'!$C$10:$AT$69,2,FALSE)</f>
        <v>5</v>
      </c>
      <c r="E190" s="123" t="s">
        <v>73</v>
      </c>
      <c r="F190" s="114">
        <f t="shared" ref="F190:F193" si="80">$D$4</f>
        <v>4</v>
      </c>
      <c r="G190" s="86">
        <f>VLOOKUP(C190,'Tie-Down Provision Workings'!$C$10:$AT$69,3,FALSE)</f>
        <v>196.20000000000002</v>
      </c>
      <c r="H190" s="239" t="str">
        <f>VLOOKUP(C190,'Tie-Down Provision Workings'!$C$10:$AT$69,8,FALSE)</f>
        <v>M6</v>
      </c>
      <c r="I190" s="166">
        <f>'Tie-Down Provision Workings'!S64</f>
        <v>8</v>
      </c>
      <c r="J190" s="86">
        <f>IF(K190="Shear",VLOOKUP(C190,'Tie-Down Provision Workings'!$C$10:$AT$69,13,FALSE),VLOOKUP(C190,'Tie-Down Provision Workings'!$C$10:$AT$69,12,FALSE))</f>
        <v>5726.08</v>
      </c>
      <c r="K190" s="87" t="str">
        <f>VLOOKUP(C190,'Tie-Down Provision Workings'!$C$10:$AT$69,39,FALSE)</f>
        <v>Shear</v>
      </c>
      <c r="L190" s="86">
        <f>VLOOKUP(C190,'Tie-Down Provision Workings'!$C$10:$AT$69,36,FALSE)</f>
        <v>24.525000000000002</v>
      </c>
      <c r="M190" s="88">
        <f>VLOOKUP(C190,'Tie-Down Provision Workings'!$C$10:$AT$69,42,FALSE)</f>
        <v>233.47930682976553</v>
      </c>
    </row>
    <row r="191" spans="2:13" x14ac:dyDescent="0.25">
      <c r="B191" s="181"/>
      <c r="C191" s="231"/>
      <c r="D191" s="184"/>
      <c r="E191" s="20" t="s">
        <v>74</v>
      </c>
      <c r="F191" s="120">
        <f t="shared" ref="F191:F194" si="81">$D$5</f>
        <v>2</v>
      </c>
      <c r="G191" s="86">
        <f>VLOOKUP(C190,'Tie-Down Provision Workings'!$C$10:$AT$69,4,FALSE)</f>
        <v>98.100000000000009</v>
      </c>
      <c r="H191" s="239"/>
      <c r="I191" s="167"/>
      <c r="J191" s="86">
        <f>IF(K191="Shear",VLOOKUP(C190,'Tie-Down Provision Workings'!$C$10:$AT$69,13,FALSE),VLOOKUP(C190,'Tie-Down Provision Workings'!$C$10:$AT$69,12,FALSE))</f>
        <v>5726.08</v>
      </c>
      <c r="K191" s="87" t="str">
        <f>VLOOKUP(C190,'Tie-Down Provision Workings'!$C$10:$AT$69,40,FALSE)</f>
        <v>Shear</v>
      </c>
      <c r="L191" s="86">
        <f>VLOOKUP(C190,'Tie-Down Provision Workings'!$C$10:$AT$69,37,FALSE)</f>
        <v>12.262500000000001</v>
      </c>
      <c r="M191" s="88">
        <f>VLOOKUP(C190,'Tie-Down Provision Workings'!$C$10:$AT$69,43,FALSE)</f>
        <v>466.95861365953107</v>
      </c>
    </row>
    <row r="192" spans="2:13" x14ac:dyDescent="0.25">
      <c r="B192" s="182"/>
      <c r="C192" s="231"/>
      <c r="D192" s="184"/>
      <c r="E192" s="20" t="s">
        <v>2</v>
      </c>
      <c r="F192" s="120">
        <f t="shared" ref="F192" si="82">$D$6</f>
        <v>1.5</v>
      </c>
      <c r="G192" s="86">
        <f>VLOOKUP(C190,'Tie-Down Provision Workings'!$C$10:$AT$69,5,FALSE)</f>
        <v>73.575000000000003</v>
      </c>
      <c r="H192" s="239"/>
      <c r="I192" s="168"/>
      <c r="J192" s="86">
        <f>IF(K192="Shear",VLOOKUP(C190,'Tie-Down Provision Workings'!$C$10:$AT$69,13,FALSE),VLOOKUP(C190,'Tie-Down Provision Workings'!$C$10:$AT$69,12,FALSE))</f>
        <v>11452.16</v>
      </c>
      <c r="K192" s="87" t="str">
        <f>VLOOKUP(C190,'Tie-Down Provision Workings'!$C$10:$AT$69,41,FALSE)</f>
        <v>Tensile</v>
      </c>
      <c r="L192" s="86">
        <f>VLOOKUP(C190,'Tie-Down Provision Workings'!$C$10:$AT$69,38,FALSE)</f>
        <v>9.1968750000000004</v>
      </c>
      <c r="M192" s="88">
        <f>VLOOKUP(C190,'Tie-Down Provision Workings'!$C$10:$AT$69,44,FALSE)</f>
        <v>1245.2229697587495</v>
      </c>
    </row>
    <row r="193" spans="2:13" x14ac:dyDescent="0.25">
      <c r="B193" s="185">
        <v>56</v>
      </c>
      <c r="C193" s="238" t="str">
        <f>VLOOKUP(B193,'Tie-Down Provision Workings'!$B$10:$AT$69,2,FALSE)</f>
        <v>Camouflage Net w/ Bamboo sticks strap to the EM mast working platform</v>
      </c>
      <c r="D193" s="179">
        <f>VLOOKUP(C193,'Tie-Down Provision Workings'!$C$10:$AT$69,2,FALSE)</f>
        <v>25</v>
      </c>
      <c r="E193" s="124" t="s">
        <v>73</v>
      </c>
      <c r="F193" s="122">
        <f t="shared" si="80"/>
        <v>4</v>
      </c>
      <c r="G193" s="80">
        <f>VLOOKUP(C193,'Tie-Down Provision Workings'!$C$10:$AT$69,3,FALSE)</f>
        <v>981</v>
      </c>
      <c r="H193" s="240" t="str">
        <f>VLOOKUP(C193,'Tie-Down Provision Workings'!$C$10:$AT$69,8,FALSE)</f>
        <v>Camlock Strap (1")</v>
      </c>
      <c r="I193" s="160">
        <f>'Tie-Down Provision Workings'!S65</f>
        <v>2</v>
      </c>
      <c r="J193" s="80">
        <f>IF(K193="Shear",VLOOKUP(C193,'Tie-Down Provision Workings'!$C$10:$AT$69,13,FALSE),VLOOKUP(C193,'Tie-Down Provision Workings'!$C$10:$AT$69,12,FALSE))</f>
        <v>2500</v>
      </c>
      <c r="K193" s="81" t="str">
        <f>VLOOKUP(C193,'Tie-Down Provision Workings'!$C$10:$AT$69,39,FALSE)</f>
        <v>Shear</v>
      </c>
      <c r="L193" s="80">
        <f>VLOOKUP(C193,'Tie-Down Provision Workings'!$C$10:$AT$69,36,FALSE)</f>
        <v>490.5</v>
      </c>
      <c r="M193" s="82">
        <f>VLOOKUP(C193,'Tie-Down Provision Workings'!$C$10:$AT$69,42,FALSE)</f>
        <v>5.0968399592252807</v>
      </c>
    </row>
    <row r="194" spans="2:13" x14ac:dyDescent="0.25">
      <c r="B194" s="186"/>
      <c r="C194" s="238"/>
      <c r="D194" s="179"/>
      <c r="E194" s="23" t="s">
        <v>74</v>
      </c>
      <c r="F194" s="119">
        <f t="shared" si="81"/>
        <v>2</v>
      </c>
      <c r="G194" s="80">
        <f>VLOOKUP(C193,'Tie-Down Provision Workings'!$C$10:$AT$69,4,FALSE)</f>
        <v>490.5</v>
      </c>
      <c r="H194" s="240"/>
      <c r="I194" s="161"/>
      <c r="J194" s="80">
        <f>IF(K194="Shear",VLOOKUP(C193,'Tie-Down Provision Workings'!$C$10:$AT$69,13,FALSE),VLOOKUP(C193,'Tie-Down Provision Workings'!$C$10:$AT$69,12,FALSE))</f>
        <v>2500</v>
      </c>
      <c r="K194" s="81" t="str">
        <f>VLOOKUP(C193,'Tie-Down Provision Workings'!$C$10:$AT$69,40,FALSE)</f>
        <v>Tensile</v>
      </c>
      <c r="L194" s="80">
        <f>VLOOKUP(C193,'Tie-Down Provision Workings'!$C$10:$AT$69,37,FALSE)</f>
        <v>245.25</v>
      </c>
      <c r="M194" s="82">
        <f>VLOOKUP(C193,'Tie-Down Provision Workings'!$C$10:$AT$69,43,FALSE)</f>
        <v>10.193679918450561</v>
      </c>
    </row>
    <row r="195" spans="2:13" x14ac:dyDescent="0.25">
      <c r="B195" s="187"/>
      <c r="C195" s="238"/>
      <c r="D195" s="179"/>
      <c r="E195" s="23" t="s">
        <v>2</v>
      </c>
      <c r="F195" s="119">
        <f t="shared" ref="F195" si="83">$D$6</f>
        <v>1.5</v>
      </c>
      <c r="G195" s="80">
        <f>VLOOKUP(C193,'Tie-Down Provision Workings'!$C$10:$AT$69,5,FALSE)</f>
        <v>367.875</v>
      </c>
      <c r="H195" s="240"/>
      <c r="I195" s="162"/>
      <c r="J195" s="80">
        <f>IF(K195="Shear",VLOOKUP(C193,'Tie-Down Provision Workings'!$C$10:$AT$69,13,FALSE),VLOOKUP(C193,'Tie-Down Provision Workings'!$C$10:$AT$69,12,FALSE))</f>
        <v>2500</v>
      </c>
      <c r="K195" s="81" t="str">
        <f>VLOOKUP(C193,'Tie-Down Provision Workings'!$C$10:$AT$69,41,FALSE)</f>
        <v>Shear</v>
      </c>
      <c r="L195" s="80">
        <f>VLOOKUP(C193,'Tie-Down Provision Workings'!$C$10:$AT$69,38,FALSE)</f>
        <v>183.9375</v>
      </c>
      <c r="M195" s="82">
        <f>VLOOKUP(C193,'Tie-Down Provision Workings'!$C$10:$AT$69,44,FALSE)</f>
        <v>13.591573224600747</v>
      </c>
    </row>
    <row r="196" spans="2:13" x14ac:dyDescent="0.25">
      <c r="B196" s="180">
        <v>57</v>
      </c>
      <c r="C196" s="231" t="str">
        <f>VLOOKUP(B196,'Tie-Down Provision Workings'!$B$10:$AT$69,2,FALSE)</f>
        <v>RF Cable Drum Platform (Left, Right) fastened to side beams at LOS Mast Compartment</v>
      </c>
      <c r="D196" s="184">
        <f>VLOOKUP(C196,'Tie-Down Provision Workings'!$C$10:$AT$69,2,FALSE)</f>
        <v>5</v>
      </c>
      <c r="E196" s="123" t="s">
        <v>73</v>
      </c>
      <c r="F196" s="136">
        <f t="shared" ref="F196:F199" si="84">$D$4</f>
        <v>4</v>
      </c>
      <c r="G196" s="86">
        <f>VLOOKUP(C196,'Tie-Down Provision Workings'!$C$10:$AT$69,3,FALSE)</f>
        <v>196.20000000000002</v>
      </c>
      <c r="H196" s="239" t="str">
        <f>VLOOKUP(C196,'Tie-Down Provision Workings'!$C$10:$AT$69,8,FALSE)</f>
        <v>M8</v>
      </c>
      <c r="I196" s="166">
        <f>'Tie-Down Provision Workings'!S66</f>
        <v>2</v>
      </c>
      <c r="J196" s="86">
        <f>IF(K196="Shear",VLOOKUP(C196,'Tie-Down Provision Workings'!$C$10:$AT$69,13,FALSE),VLOOKUP(C196,'Tie-Down Provision Workings'!$C$10:$AT$69,12,FALSE))</f>
        <v>21018.240000000002</v>
      </c>
      <c r="K196" s="87" t="str">
        <f>VLOOKUP(C196,'Tie-Down Provision Workings'!$C$10:$AT$69,39,FALSE)</f>
        <v>Tensile</v>
      </c>
      <c r="L196" s="86">
        <f>VLOOKUP(C196,'Tie-Down Provision Workings'!$C$10:$AT$69,36,FALSE)</f>
        <v>98.100000000000009</v>
      </c>
      <c r="M196" s="88">
        <f>VLOOKUP(C196,'Tie-Down Provision Workings'!$C$10:$AT$69,42,FALSE)</f>
        <v>214.25321100917432</v>
      </c>
    </row>
    <row r="197" spans="2:13" x14ac:dyDescent="0.25">
      <c r="B197" s="181"/>
      <c r="C197" s="231"/>
      <c r="D197" s="184"/>
      <c r="E197" s="20" t="s">
        <v>74</v>
      </c>
      <c r="F197" s="138">
        <f t="shared" ref="F197:F200" si="85">$D$5</f>
        <v>2</v>
      </c>
      <c r="G197" s="86">
        <f>VLOOKUP(C196,'Tie-Down Provision Workings'!$C$10:$AT$69,4,FALSE)</f>
        <v>98.100000000000009</v>
      </c>
      <c r="H197" s="239"/>
      <c r="I197" s="167"/>
      <c r="J197" s="86">
        <f>IF(K197="Shear",VLOOKUP(C196,'Tie-Down Provision Workings'!$C$10:$AT$69,13,FALSE),VLOOKUP(C196,'Tie-Down Provision Workings'!$C$10:$AT$69,12,FALSE))</f>
        <v>10509.12</v>
      </c>
      <c r="K197" s="87" t="str">
        <f>VLOOKUP(C196,'Tie-Down Provision Workings'!$C$10:$AT$69,40,FALSE)</f>
        <v>Shear</v>
      </c>
      <c r="L197" s="86">
        <f>VLOOKUP(C196,'Tie-Down Provision Workings'!$C$10:$AT$69,37,FALSE)</f>
        <v>49.050000000000004</v>
      </c>
      <c r="M197" s="88">
        <f>VLOOKUP(C196,'Tie-Down Provision Workings'!$C$10:$AT$69,43,FALSE)</f>
        <v>214.25321100917432</v>
      </c>
    </row>
    <row r="198" spans="2:13" x14ac:dyDescent="0.25">
      <c r="B198" s="182"/>
      <c r="C198" s="231"/>
      <c r="D198" s="184"/>
      <c r="E198" s="20" t="s">
        <v>2</v>
      </c>
      <c r="F198" s="138">
        <f t="shared" ref="F198" si="86">$D$6</f>
        <v>1.5</v>
      </c>
      <c r="G198" s="86">
        <f>VLOOKUP(C196,'Tie-Down Provision Workings'!$C$10:$AT$69,5,FALSE)</f>
        <v>73.575000000000003</v>
      </c>
      <c r="H198" s="239"/>
      <c r="I198" s="168"/>
      <c r="J198" s="86">
        <f>IF(K198="Shear",VLOOKUP(C196,'Tie-Down Provision Workings'!$C$10:$AT$69,13,FALSE),VLOOKUP(C196,'Tie-Down Provision Workings'!$C$10:$AT$69,12,FALSE))</f>
        <v>10509.12</v>
      </c>
      <c r="K198" s="87" t="str">
        <f>VLOOKUP(C196,'Tie-Down Provision Workings'!$C$10:$AT$69,41,FALSE)</f>
        <v>Shear</v>
      </c>
      <c r="L198" s="86">
        <f>VLOOKUP(C196,'Tie-Down Provision Workings'!$C$10:$AT$69,38,FALSE)</f>
        <v>36.787500000000001</v>
      </c>
      <c r="M198" s="88">
        <f>VLOOKUP(C196,'Tie-Down Provision Workings'!$C$10:$AT$69,44,FALSE)</f>
        <v>285.67094801223243</v>
      </c>
    </row>
    <row r="199" spans="2:13" x14ac:dyDescent="0.25">
      <c r="B199" s="185">
        <v>58</v>
      </c>
      <c r="C199" s="238" t="str">
        <f>VLOOKUP(B199,'Tie-Down Provision Workings'!$B$10:$AT$69,2,FALSE)</f>
        <v>EM Mast Working Platform Ladder secured by spring lock below the generator at Outdoor Facilities</v>
      </c>
      <c r="D199" s="179">
        <f>VLOOKUP(C199,'Tie-Down Provision Workings'!$C$10:$AT$69,2,FALSE)</f>
        <v>6</v>
      </c>
      <c r="E199" s="124" t="s">
        <v>73</v>
      </c>
      <c r="F199" s="135">
        <f t="shared" si="84"/>
        <v>4</v>
      </c>
      <c r="G199" s="80">
        <f>VLOOKUP(C199,'Tie-Down Provision Workings'!$C$10:$AT$69,3,FALSE)</f>
        <v>235.44</v>
      </c>
      <c r="H199" s="240" t="str">
        <f>VLOOKUP(C199,'Tie-Down Provision Workings'!$C$10:$AT$69,8,FALSE)</f>
        <v>Spring Latch</v>
      </c>
      <c r="I199" s="160">
        <f>'Tie-Down Provision Workings'!S67</f>
        <v>2</v>
      </c>
      <c r="J199" s="80">
        <f>IF(K199="Shear",VLOOKUP(C199,'Tie-Down Provision Workings'!$C$10:$AT$69,13,FALSE),VLOOKUP(C199,'Tie-Down Provision Workings'!$C$10:$AT$69,12,FALSE))</f>
        <v>9330.5301811616864</v>
      </c>
      <c r="K199" s="81" t="str">
        <f>VLOOKUP(C199,'Tie-Down Provision Workings'!$C$10:$AT$69,39,FALSE)</f>
        <v>Shear</v>
      </c>
      <c r="L199" s="80">
        <f>VLOOKUP(C199,'Tie-Down Provision Workings'!$C$10:$AT$69,36,FALSE)</f>
        <v>117.72</v>
      </c>
      <c r="M199" s="82">
        <f>VLOOKUP(C199,'Tie-Down Provision Workings'!$C$10:$AT$69,42,FALSE)</f>
        <v>79.260365113503966</v>
      </c>
    </row>
    <row r="200" spans="2:13" x14ac:dyDescent="0.25">
      <c r="B200" s="186"/>
      <c r="C200" s="238"/>
      <c r="D200" s="179"/>
      <c r="E200" s="23" t="s">
        <v>74</v>
      </c>
      <c r="F200" s="137">
        <f t="shared" si="85"/>
        <v>2</v>
      </c>
      <c r="G200" s="80">
        <f>VLOOKUP(C199,'Tie-Down Provision Workings'!$C$10:$AT$69,4,FALSE)</f>
        <v>117.72</v>
      </c>
      <c r="H200" s="240"/>
      <c r="I200" s="161"/>
      <c r="J200" s="80">
        <f>IF(K200="Shear",VLOOKUP(C199,'Tie-Down Provision Workings'!$C$10:$AT$69,13,FALSE),VLOOKUP(C199,'Tie-Down Provision Workings'!$C$10:$AT$69,12,FALSE))</f>
        <v>9330.5301811616864</v>
      </c>
      <c r="K200" s="81" t="str">
        <f>VLOOKUP(C199,'Tie-Down Provision Workings'!$C$10:$AT$69,40,FALSE)</f>
        <v>Shear</v>
      </c>
      <c r="L200" s="80">
        <f>VLOOKUP(C199,'Tie-Down Provision Workings'!$C$10:$AT$69,37,FALSE)</f>
        <v>58.86</v>
      </c>
      <c r="M200" s="82">
        <f>VLOOKUP(C199,'Tie-Down Provision Workings'!$C$10:$AT$69,43,FALSE)</f>
        <v>158.52073022700793</v>
      </c>
    </row>
    <row r="201" spans="2:13" x14ac:dyDescent="0.25">
      <c r="B201" s="187"/>
      <c r="C201" s="238"/>
      <c r="D201" s="179"/>
      <c r="E201" s="23" t="s">
        <v>2</v>
      </c>
      <c r="F201" s="137">
        <f t="shared" ref="F201" si="87">$D$6</f>
        <v>1.5</v>
      </c>
      <c r="G201" s="80">
        <f>VLOOKUP(C199,'Tie-Down Provision Workings'!$C$10:$AT$69,5,FALSE)</f>
        <v>88.289999999999992</v>
      </c>
      <c r="H201" s="240"/>
      <c r="I201" s="162"/>
      <c r="J201" s="80">
        <f>IF(K201="Shear",VLOOKUP(C199,'Tie-Down Provision Workings'!$C$10:$AT$69,13,FALSE),VLOOKUP(C199,'Tie-Down Provision Workings'!$C$10:$AT$69,12,FALSE))</f>
        <v>18661.060362323373</v>
      </c>
      <c r="K201" s="81" t="str">
        <f>VLOOKUP(C199,'Tie-Down Provision Workings'!$C$10:$AT$69,41,FALSE)</f>
        <v>Tensile</v>
      </c>
      <c r="L201" s="80">
        <f>VLOOKUP(C199,'Tie-Down Provision Workings'!$C$10:$AT$69,38,FALSE)</f>
        <v>44.144999999999996</v>
      </c>
      <c r="M201" s="82">
        <f>VLOOKUP(C199,'Tie-Down Provision Workings'!$C$10:$AT$69,44,FALSE)</f>
        <v>422.72194727202117</v>
      </c>
    </row>
    <row r="202" spans="2:13" x14ac:dyDescent="0.25">
      <c r="B202" s="180">
        <v>59</v>
      </c>
      <c r="C202" s="231" t="str">
        <f>VLOOKUP(B202,'Tie-Down Provision Workings'!$B$10:$AT$69,2,FALSE)</f>
        <v>Roof Safety Lifeline fastened to the Roof</v>
      </c>
      <c r="D202" s="184">
        <f>VLOOKUP(C202,'Tie-Down Provision Workings'!$C$10:$AT$69,2,FALSE)</f>
        <v>6</v>
      </c>
      <c r="E202" s="123" t="s">
        <v>73</v>
      </c>
      <c r="F202" s="136">
        <f t="shared" ref="F202" si="88">$D$4</f>
        <v>4</v>
      </c>
      <c r="G202" s="86">
        <f>VLOOKUP(C202,'Tie-Down Provision Workings'!$C$10:$AT$69,3,FALSE)</f>
        <v>235.44</v>
      </c>
      <c r="H202" s="239" t="str">
        <f>VLOOKUP(C202,'Tie-Down Provision Workings'!$C$10:$AT$69,8,FALSE)</f>
        <v>M12</v>
      </c>
      <c r="I202" s="166">
        <f>'Tie-Down Provision Workings'!S70</f>
        <v>0</v>
      </c>
      <c r="J202" s="86">
        <f>IF(K202="Shear",VLOOKUP(C202,'Tie-Down Provision Workings'!$C$10:$AT$69,13,FALSE),VLOOKUP(C202,'Tie-Down Provision Workings'!$C$10:$AT$69,12,FALSE))</f>
        <v>24399.040000000001</v>
      </c>
      <c r="K202" s="87" t="str">
        <f>VLOOKUP(C202,'Tie-Down Provision Workings'!$C$10:$AT$69,39,FALSE)</f>
        <v>Shear</v>
      </c>
      <c r="L202" s="86">
        <f>VLOOKUP(C202,'Tie-Down Provision Workings'!$C$10:$AT$69,36,FALSE)</f>
        <v>29.43</v>
      </c>
      <c r="M202" s="88">
        <f>VLOOKUP(C202,'Tie-Down Provision Workings'!$C$10:$AT$69,42,FALSE)</f>
        <v>829.05334692490658</v>
      </c>
    </row>
    <row r="203" spans="2:13" x14ac:dyDescent="0.25">
      <c r="B203" s="181"/>
      <c r="C203" s="231"/>
      <c r="D203" s="184"/>
      <c r="E203" s="20" t="s">
        <v>74</v>
      </c>
      <c r="F203" s="138">
        <f t="shared" ref="F203" si="89">$D$5</f>
        <v>2</v>
      </c>
      <c r="G203" s="86">
        <f>VLOOKUP(C202,'Tie-Down Provision Workings'!$C$10:$AT$69,4,FALSE)</f>
        <v>117.72</v>
      </c>
      <c r="H203" s="239"/>
      <c r="I203" s="167"/>
      <c r="J203" s="86">
        <f>IF(K203="Shear",VLOOKUP(C202,'Tie-Down Provision Workings'!$C$10:$AT$69,13,FALSE),VLOOKUP(C202,'Tie-Down Provision Workings'!$C$10:$AT$69,12,FALSE))</f>
        <v>48798.080000000002</v>
      </c>
      <c r="K203" s="87" t="str">
        <f>VLOOKUP(C202,'Tie-Down Provision Workings'!$C$10:$AT$69,40,FALSE)</f>
        <v>Tensile</v>
      </c>
      <c r="L203" s="86">
        <f>VLOOKUP(C202,'Tie-Down Provision Workings'!$C$10:$AT$69,37,FALSE)</f>
        <v>14.715</v>
      </c>
      <c r="M203" s="88">
        <f>VLOOKUP(C202,'Tie-Down Provision Workings'!$C$10:$AT$69,43,FALSE)</f>
        <v>3316.2133876996263</v>
      </c>
    </row>
    <row r="204" spans="2:13" x14ac:dyDescent="0.25">
      <c r="B204" s="182"/>
      <c r="C204" s="231"/>
      <c r="D204" s="184"/>
      <c r="E204" s="20" t="s">
        <v>2</v>
      </c>
      <c r="F204" s="138">
        <f t="shared" ref="F204" si="90">$D$6</f>
        <v>1.5</v>
      </c>
      <c r="G204" s="86">
        <f>VLOOKUP(C202,'Tie-Down Provision Workings'!$C$10:$AT$69,5,FALSE)</f>
        <v>88.289999999999992</v>
      </c>
      <c r="H204" s="239"/>
      <c r="I204" s="168"/>
      <c r="J204" s="86">
        <f>IF(K204="Shear",VLOOKUP(C202,'Tie-Down Provision Workings'!$C$10:$AT$69,13,FALSE),VLOOKUP(C202,'Tie-Down Provision Workings'!$C$10:$AT$69,12,FALSE))</f>
        <v>24399.040000000001</v>
      </c>
      <c r="K204" s="87" t="str">
        <f>VLOOKUP(C202,'Tie-Down Provision Workings'!$C$10:$AT$69,41,FALSE)</f>
        <v>Shear</v>
      </c>
      <c r="L204" s="86">
        <f>VLOOKUP(C202,'Tie-Down Provision Workings'!$C$10:$AT$69,38,FALSE)</f>
        <v>11.036249999999999</v>
      </c>
      <c r="M204" s="88">
        <f>VLOOKUP(C202,'Tie-Down Provision Workings'!$C$10:$AT$69,44,FALSE)</f>
        <v>2210.8089251330844</v>
      </c>
    </row>
  </sheetData>
  <mergeCells count="304">
    <mergeCell ref="B199:B201"/>
    <mergeCell ref="C199:C201"/>
    <mergeCell ref="D199:D201"/>
    <mergeCell ref="H199:H201"/>
    <mergeCell ref="I199:I201"/>
    <mergeCell ref="B202:B204"/>
    <mergeCell ref="C202:C204"/>
    <mergeCell ref="D202:D204"/>
    <mergeCell ref="H202:H204"/>
    <mergeCell ref="I202:I204"/>
    <mergeCell ref="B196:B198"/>
    <mergeCell ref="C196:C198"/>
    <mergeCell ref="D196:D198"/>
    <mergeCell ref="H196:H198"/>
    <mergeCell ref="I196:I198"/>
    <mergeCell ref="H151:H153"/>
    <mergeCell ref="I151:I153"/>
    <mergeCell ref="H163:H165"/>
    <mergeCell ref="I163:I165"/>
    <mergeCell ref="I175:I177"/>
    <mergeCell ref="I178:I180"/>
    <mergeCell ref="I181:I183"/>
    <mergeCell ref="I184:I186"/>
    <mergeCell ref="I187:I189"/>
    <mergeCell ref="I190:I192"/>
    <mergeCell ref="I193:I195"/>
    <mergeCell ref="B193:B195"/>
    <mergeCell ref="C193:C195"/>
    <mergeCell ref="D193:D195"/>
    <mergeCell ref="H175:H177"/>
    <mergeCell ref="H178:H180"/>
    <mergeCell ref="H181:H183"/>
    <mergeCell ref="H184:H186"/>
    <mergeCell ref="H187:H189"/>
    <mergeCell ref="H190:H192"/>
    <mergeCell ref="H193:H195"/>
    <mergeCell ref="B190:B192"/>
    <mergeCell ref="C175:C177"/>
    <mergeCell ref="C178:C180"/>
    <mergeCell ref="C181:C183"/>
    <mergeCell ref="C184:C186"/>
    <mergeCell ref="C187:C189"/>
    <mergeCell ref="C190:C192"/>
    <mergeCell ref="D175:D177"/>
    <mergeCell ref="D178:D180"/>
    <mergeCell ref="D181:D183"/>
    <mergeCell ref="D184:D186"/>
    <mergeCell ref="D187:D189"/>
    <mergeCell ref="D190:D192"/>
    <mergeCell ref="B175:B177"/>
    <mergeCell ref="B178:B180"/>
    <mergeCell ref="B181:B183"/>
    <mergeCell ref="B184:B186"/>
    <mergeCell ref="B187:B189"/>
    <mergeCell ref="B67:B69"/>
    <mergeCell ref="C67:C69"/>
    <mergeCell ref="D67:D69"/>
    <mergeCell ref="H67:H69"/>
    <mergeCell ref="I67:I69"/>
    <mergeCell ref="E140:G140"/>
    <mergeCell ref="H140:M140"/>
    <mergeCell ref="E173:G173"/>
    <mergeCell ref="H173:M173"/>
    <mergeCell ref="I145:I147"/>
    <mergeCell ref="I148:I150"/>
    <mergeCell ref="I133:I135"/>
    <mergeCell ref="I157:I159"/>
    <mergeCell ref="I160:I162"/>
    <mergeCell ref="I169:I171"/>
    <mergeCell ref="B163:B165"/>
    <mergeCell ref="C163:C165"/>
    <mergeCell ref="D163:D165"/>
    <mergeCell ref="B166:B168"/>
    <mergeCell ref="C166:C168"/>
    <mergeCell ref="D166:D168"/>
    <mergeCell ref="B169:B171"/>
    <mergeCell ref="C169:C171"/>
    <mergeCell ref="D169:D171"/>
    <mergeCell ref="H169:H171"/>
    <mergeCell ref="B103:B105"/>
    <mergeCell ref="C103:C105"/>
    <mergeCell ref="D103:D105"/>
    <mergeCell ref="H103:H105"/>
    <mergeCell ref="B121:B123"/>
    <mergeCell ref="C121:C123"/>
    <mergeCell ref="D121:D123"/>
    <mergeCell ref="H121:H123"/>
    <mergeCell ref="B124:B126"/>
    <mergeCell ref="C124:C126"/>
    <mergeCell ref="D124:D126"/>
    <mergeCell ref="H124:H126"/>
    <mergeCell ref="B127:B129"/>
    <mergeCell ref="B157:B159"/>
    <mergeCell ref="C157:C159"/>
    <mergeCell ref="D157:D159"/>
    <mergeCell ref="H157:H159"/>
    <mergeCell ref="H109:H111"/>
    <mergeCell ref="H112:H114"/>
    <mergeCell ref="B160:B162"/>
    <mergeCell ref="C160:C162"/>
    <mergeCell ref="D160:D162"/>
    <mergeCell ref="H160:H162"/>
    <mergeCell ref="B97:B99"/>
    <mergeCell ref="C97:C99"/>
    <mergeCell ref="D97:D99"/>
    <mergeCell ref="H97:H99"/>
    <mergeCell ref="B100:B102"/>
    <mergeCell ref="C100:C102"/>
    <mergeCell ref="D100:D102"/>
    <mergeCell ref="H100:H102"/>
    <mergeCell ref="E107:G107"/>
    <mergeCell ref="H107:M107"/>
    <mergeCell ref="B154:B156"/>
    <mergeCell ref="C154:C156"/>
    <mergeCell ref="D154:D156"/>
    <mergeCell ref="B151:B153"/>
    <mergeCell ref="C151:C153"/>
    <mergeCell ref="D151:D153"/>
    <mergeCell ref="C136:C138"/>
    <mergeCell ref="D136:D138"/>
    <mergeCell ref="H136:H138"/>
    <mergeCell ref="C145:C147"/>
    <mergeCell ref="D145:D147"/>
    <mergeCell ref="H145:H147"/>
    <mergeCell ref="B145:B147"/>
    <mergeCell ref="B148:B150"/>
    <mergeCell ref="C148:C150"/>
    <mergeCell ref="D148:D150"/>
    <mergeCell ref="H148:H150"/>
    <mergeCell ref="B142:B144"/>
    <mergeCell ref="C142:C144"/>
    <mergeCell ref="D142:D144"/>
    <mergeCell ref="H142:H144"/>
    <mergeCell ref="B136:B138"/>
    <mergeCell ref="B109:B111"/>
    <mergeCell ref="C109:C111"/>
    <mergeCell ref="D109:D111"/>
    <mergeCell ref="B112:B114"/>
    <mergeCell ref="C112:C114"/>
    <mergeCell ref="D112:D114"/>
    <mergeCell ref="B115:B117"/>
    <mergeCell ref="C115:C117"/>
    <mergeCell ref="D115:D117"/>
    <mergeCell ref="B118:B120"/>
    <mergeCell ref="C118:C120"/>
    <mergeCell ref="D118:D120"/>
    <mergeCell ref="H118:H120"/>
    <mergeCell ref="H115:H117"/>
    <mergeCell ref="B1:E1"/>
    <mergeCell ref="E8:G8"/>
    <mergeCell ref="B19:B21"/>
    <mergeCell ref="C19:C21"/>
    <mergeCell ref="D19:D21"/>
    <mergeCell ref="H19:H21"/>
    <mergeCell ref="B22:B24"/>
    <mergeCell ref="C22:C24"/>
    <mergeCell ref="D22:D24"/>
    <mergeCell ref="H22:H24"/>
    <mergeCell ref="B10:B12"/>
    <mergeCell ref="C10:C12"/>
    <mergeCell ref="D10:D12"/>
    <mergeCell ref="H10:H12"/>
    <mergeCell ref="B13:B15"/>
    <mergeCell ref="C13:C15"/>
    <mergeCell ref="D13:D15"/>
    <mergeCell ref="H13:H15"/>
    <mergeCell ref="H8:M8"/>
    <mergeCell ref="I13:I15"/>
    <mergeCell ref="I19:I21"/>
    <mergeCell ref="D16:D18"/>
    <mergeCell ref="H16:H18"/>
    <mergeCell ref="I16:I18"/>
    <mergeCell ref="I22:I24"/>
    <mergeCell ref="B16:B18"/>
    <mergeCell ref="C16:C18"/>
    <mergeCell ref="B34:B36"/>
    <mergeCell ref="C34:C36"/>
    <mergeCell ref="D34:D36"/>
    <mergeCell ref="H34:H36"/>
    <mergeCell ref="B25:B27"/>
    <mergeCell ref="B28:B30"/>
    <mergeCell ref="E41:G41"/>
    <mergeCell ref="H41:M41"/>
    <mergeCell ref="I25:I27"/>
    <mergeCell ref="I28:I30"/>
    <mergeCell ref="I31:I33"/>
    <mergeCell ref="I34:I36"/>
    <mergeCell ref="I37:I39"/>
    <mergeCell ref="C31:C33"/>
    <mergeCell ref="D31:D33"/>
    <mergeCell ref="H31:H33"/>
    <mergeCell ref="C25:C27"/>
    <mergeCell ref="D25:D27"/>
    <mergeCell ref="H25:H27"/>
    <mergeCell ref="C28:C30"/>
    <mergeCell ref="D28:D30"/>
    <mergeCell ref="H28:H30"/>
    <mergeCell ref="B37:B39"/>
    <mergeCell ref="C37:C39"/>
    <mergeCell ref="D37:D39"/>
    <mergeCell ref="H37:H39"/>
    <mergeCell ref="B31:B33"/>
    <mergeCell ref="B61:B63"/>
    <mergeCell ref="C61:C63"/>
    <mergeCell ref="D61:D63"/>
    <mergeCell ref="H61:H63"/>
    <mergeCell ref="B49:B51"/>
    <mergeCell ref="C49:C51"/>
    <mergeCell ref="D49:D51"/>
    <mergeCell ref="B52:B54"/>
    <mergeCell ref="C52:C54"/>
    <mergeCell ref="D52:D54"/>
    <mergeCell ref="H52:H54"/>
    <mergeCell ref="B43:B45"/>
    <mergeCell ref="C43:C45"/>
    <mergeCell ref="D43:D45"/>
    <mergeCell ref="H43:H45"/>
    <mergeCell ref="B46:B48"/>
    <mergeCell ref="C46:C48"/>
    <mergeCell ref="D46:D48"/>
    <mergeCell ref="H46:H48"/>
    <mergeCell ref="B64:B66"/>
    <mergeCell ref="C64:C66"/>
    <mergeCell ref="D64:D66"/>
    <mergeCell ref="H64:H66"/>
    <mergeCell ref="B55:B57"/>
    <mergeCell ref="C55:C57"/>
    <mergeCell ref="D55:D57"/>
    <mergeCell ref="B58:B60"/>
    <mergeCell ref="C58:C60"/>
    <mergeCell ref="D58:D60"/>
    <mergeCell ref="H58:H60"/>
    <mergeCell ref="B79:B81"/>
    <mergeCell ref="C79:C81"/>
    <mergeCell ref="D79:D81"/>
    <mergeCell ref="H79:H81"/>
    <mergeCell ref="B82:B84"/>
    <mergeCell ref="C82:C84"/>
    <mergeCell ref="D82:D84"/>
    <mergeCell ref="H82:H84"/>
    <mergeCell ref="B70:B72"/>
    <mergeCell ref="C70:C72"/>
    <mergeCell ref="D70:D72"/>
    <mergeCell ref="H70:H72"/>
    <mergeCell ref="B76:B78"/>
    <mergeCell ref="C76:C78"/>
    <mergeCell ref="D76:D78"/>
    <mergeCell ref="H76:H78"/>
    <mergeCell ref="E74:G74"/>
    <mergeCell ref="H74:M74"/>
    <mergeCell ref="I76:I78"/>
    <mergeCell ref="I79:I81"/>
    <mergeCell ref="I82:I84"/>
    <mergeCell ref="B91:B93"/>
    <mergeCell ref="C91:C93"/>
    <mergeCell ref="D91:D93"/>
    <mergeCell ref="H91:H93"/>
    <mergeCell ref="B94:B96"/>
    <mergeCell ref="C94:C96"/>
    <mergeCell ref="D94:D96"/>
    <mergeCell ref="H94:H96"/>
    <mergeCell ref="B85:B87"/>
    <mergeCell ref="C85:C87"/>
    <mergeCell ref="D85:D87"/>
    <mergeCell ref="H85:H87"/>
    <mergeCell ref="B88:B90"/>
    <mergeCell ref="C88:C90"/>
    <mergeCell ref="D88:D90"/>
    <mergeCell ref="H88:H90"/>
    <mergeCell ref="C127:C129"/>
    <mergeCell ref="D127:D129"/>
    <mergeCell ref="H127:H129"/>
    <mergeCell ref="B130:B132"/>
    <mergeCell ref="C130:C132"/>
    <mergeCell ref="D130:D132"/>
    <mergeCell ref="B133:B135"/>
    <mergeCell ref="C133:C135"/>
    <mergeCell ref="D133:D135"/>
    <mergeCell ref="H130:H132"/>
    <mergeCell ref="H133:H135"/>
    <mergeCell ref="I43:I45"/>
    <mergeCell ref="I46:I48"/>
    <mergeCell ref="I52:I54"/>
    <mergeCell ref="I58:I60"/>
    <mergeCell ref="I61:I63"/>
    <mergeCell ref="I64:I66"/>
    <mergeCell ref="I70:I72"/>
    <mergeCell ref="I115:I117"/>
    <mergeCell ref="I136:I138"/>
    <mergeCell ref="I142:I144"/>
    <mergeCell ref="I118:I120"/>
    <mergeCell ref="I121:I123"/>
    <mergeCell ref="I124:I126"/>
    <mergeCell ref="I127:I129"/>
    <mergeCell ref="I85:I87"/>
    <mergeCell ref="I88:I90"/>
    <mergeCell ref="I91:I93"/>
    <mergeCell ref="I94:I96"/>
    <mergeCell ref="I97:I99"/>
    <mergeCell ref="I100:I102"/>
    <mergeCell ref="I103:I105"/>
    <mergeCell ref="I130:I132"/>
    <mergeCell ref="I109:I111"/>
    <mergeCell ref="I112:I11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Tie-Down Provision Workings</vt:lpstr>
      <vt:lpstr>Fastener Data</vt:lpstr>
      <vt:lpstr>Tie-Down Provision Summary</vt:lpstr>
      <vt:lpstr>'Tie-Down Provision Workings'!Print_Area</vt:lpstr>
    </vt:vector>
  </TitlesOfParts>
  <Company>ST Infocomm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Mervyn Lim Wee Chuan</dc:creator>
  <cp:keywords>[SEC=OFFICIAL-OPEN]</cp:keywords>
  <cp:lastModifiedBy>Han Tyng Chour</cp:lastModifiedBy>
  <cp:lastPrinted>2020-09-30T01:41:42Z</cp:lastPrinted>
  <dcterms:created xsi:type="dcterms:W3CDTF">2014-03-07T01:37:48Z</dcterms:created>
  <dcterms:modified xsi:type="dcterms:W3CDTF">2024-07-17T01:23:08Z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Namespace">
    <vt:lpwstr>gov.sg</vt:lpwstr>
  </property>
  <property fmtid="{D5CDD505-2E9C-101B-9397-08002B2CF9AE}" pid="3" name="PM_Caveats_Count">
    <vt:lpwstr>0</vt:lpwstr>
  </property>
  <property fmtid="{D5CDD505-2E9C-101B-9397-08002B2CF9AE}" pid="4" name="PM_Version">
    <vt:lpwstr>2021.1</vt:lpwstr>
  </property>
  <property fmtid="{D5CDD505-2E9C-101B-9397-08002B2CF9AE}" pid="5" name="PM_Note">
    <vt:lpwstr/>
  </property>
  <property fmtid="{D5CDD505-2E9C-101B-9397-08002B2CF9AE}" pid="6" name="PMHMAC">
    <vt:lpwstr>v=2022.1;a=SHA256;h=6146EF4C6739A4DB2AC025636A3C05089F7D7EA8E000293762AB751F8B444BA1</vt:lpwstr>
  </property>
  <property fmtid="{D5CDD505-2E9C-101B-9397-08002B2CF9AE}" pid="7" name="PM_Qualifier">
    <vt:lpwstr/>
  </property>
  <property fmtid="{D5CDD505-2E9C-101B-9397-08002B2CF9AE}" pid="8" name="PM_SecurityClassification">
    <vt:lpwstr>OFFICIAL-OPEN</vt:lpwstr>
  </property>
  <property fmtid="{D5CDD505-2E9C-101B-9397-08002B2CF9AE}" pid="9" name="PM_ProtectiveMarkingValue_Header">
    <vt:lpwstr>OFFICIAL(OPEN)</vt:lpwstr>
  </property>
  <property fmtid="{D5CDD505-2E9C-101B-9397-08002B2CF9AE}" pid="10" name="PM_OriginationTimeStamp">
    <vt:lpwstr>2023-08-14T17:24:21Z</vt:lpwstr>
  </property>
  <property fmtid="{D5CDD505-2E9C-101B-9397-08002B2CF9AE}" pid="11" name="PM_Markers">
    <vt:lpwstr/>
  </property>
  <property fmtid="{D5CDD505-2E9C-101B-9397-08002B2CF9AE}" pid="12" name="PM_InsertionValue">
    <vt:lpwstr>OFFICIAL(OPEN)</vt:lpwstr>
  </property>
  <property fmtid="{D5CDD505-2E9C-101B-9397-08002B2CF9AE}" pid="13" name="PM_Originator_Hash_SHA1">
    <vt:lpwstr>AD08333CEACEC8D2F7619157A10B7A56B310EA99</vt:lpwstr>
  </property>
  <property fmtid="{D5CDD505-2E9C-101B-9397-08002B2CF9AE}" pid="14" name="PM_DisplayValueSecClassificationWithQualifier">
    <vt:lpwstr>OFFICIAL(OPEN)</vt:lpwstr>
  </property>
  <property fmtid="{D5CDD505-2E9C-101B-9397-08002B2CF9AE}" pid="15" name="PM_Originating_FileId">
    <vt:lpwstr>96F81CAAF56541A1B097C62C944D7458</vt:lpwstr>
  </property>
  <property fmtid="{D5CDD505-2E9C-101B-9397-08002B2CF9AE}" pid="16" name="PM_ProtectiveMarkingValue_Footer">
    <vt:lpwstr>OFFICIAL(OPEN)</vt:lpwstr>
  </property>
  <property fmtid="{D5CDD505-2E9C-101B-9397-08002B2CF9AE}" pid="17" name="PM_ProtectiveMarkingImage_Header">
    <vt:lpwstr>C:\Program Files\Common Files\janusNET Shared\janusSEAL\Images\DocumentSlashBlue.png</vt:lpwstr>
  </property>
  <property fmtid="{D5CDD505-2E9C-101B-9397-08002B2CF9AE}" pid="18" name="PM_ProtectiveMarkingImage_Footer">
    <vt:lpwstr>C:\Program Files\Common Files\janusNET Shared\janusSEAL\Images\DocumentSlashBlue.png</vt:lpwstr>
  </property>
  <property fmtid="{D5CDD505-2E9C-101B-9397-08002B2CF9AE}" pid="19" name="PM_Display">
    <vt:lpwstr>OFFICIAL(OPEN)</vt:lpwstr>
  </property>
  <property fmtid="{D5CDD505-2E9C-101B-9397-08002B2CF9AE}" pid="20" name="PM_OriginatorUserAccountName_SHA256">
    <vt:lpwstr>DFE85282678A05F147CB4EFB82B63E487785D6D4E18D7E43F4800171D616BA48</vt:lpwstr>
  </property>
  <property fmtid="{D5CDD505-2E9C-101B-9397-08002B2CF9AE}" pid="21" name="PM_OriginatorDomainName_SHA256">
    <vt:lpwstr>F218C73000DEA39B353C5C2355A2524E4D65AE887A4636DE3AF26D3FCCEAA57C</vt:lpwstr>
  </property>
  <property fmtid="{D5CDD505-2E9C-101B-9397-08002B2CF9AE}" pid="22" name="PMUuid">
    <vt:lpwstr>v=2022.2;d=gov.sg;g=01CAC50D-6227-5EE2-922B-7A8FD09A3739</vt:lpwstr>
  </property>
  <property fmtid="{D5CDD505-2E9C-101B-9397-08002B2CF9AE}" pid="23" name="PM_Hash_Version">
    <vt:lpwstr>2022.1</vt:lpwstr>
  </property>
  <property fmtid="{D5CDD505-2E9C-101B-9397-08002B2CF9AE}" pid="24" name="PM_Hash_Salt_Prev">
    <vt:lpwstr>CE5E6225BB2F0B4DC7892B5B437C765A</vt:lpwstr>
  </property>
  <property fmtid="{D5CDD505-2E9C-101B-9397-08002B2CF9AE}" pid="25" name="PM_Hash_Salt">
    <vt:lpwstr>A908CC6689BC5AB97C975DD59F72BB99</vt:lpwstr>
  </property>
  <property fmtid="{D5CDD505-2E9C-101B-9397-08002B2CF9AE}" pid="26" name="PM_Hash_SHA1">
    <vt:lpwstr>CAF10240217D20A6EE0F365866ACBE4F5D7D9FB1</vt:lpwstr>
  </property>
  <property fmtid="{D5CDD505-2E9C-101B-9397-08002B2CF9AE}" pid="27" name="PM_PrintOutPlacement_XLS">
    <vt:lpwstr/>
  </property>
  <property fmtid="{D5CDD505-2E9C-101B-9397-08002B2CF9AE}" pid="28" name="PM_SecurityClassification_Prev">
    <vt:lpwstr>OFFICIAL-OPEN</vt:lpwstr>
  </property>
  <property fmtid="{D5CDD505-2E9C-101B-9397-08002B2CF9AE}" pid="29" name="PM_Qualifier_Prev">
    <vt:lpwstr/>
  </property>
</Properties>
</file>